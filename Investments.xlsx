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ctimemt-my.sharepoint.com/personal/jpgalea_computime_com_mt/Documents/Documents/JP folder/Investments/Kathleen investments/"/>
    </mc:Choice>
  </mc:AlternateContent>
  <xr:revisionPtr revIDLastSave="23" documentId="14_{D8FFD0E9-07D3-40CD-9E37-AAD3A5438099}" xr6:coauthVersionLast="47" xr6:coauthVersionMax="47" xr10:uidLastSave="{A199130A-0AAD-440C-A3B3-ADE486D7E412}"/>
  <bookViews>
    <workbookView xWindow="-108" yWindow="-108" windowWidth="23256" windowHeight="12456" xr2:uid="{63AD4105-E52D-46FC-BCFA-6F1752685CAC}"/>
  </bookViews>
  <sheets>
    <sheet name="Transactions" sheetId="3" r:id="rId1"/>
    <sheet name="Introduced Capital" sheetId="5" r:id="rId2"/>
  </sheets>
  <definedNames>
    <definedName name="_xlnm._FilterDatabase" localSheetId="0" hidden="1">Transactions!$A$1:$M$15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3" l="1"/>
  <c r="J4" i="3" l="1"/>
  <c r="J3" i="3"/>
  <c r="J2" i="3"/>
  <c r="K3" i="5" l="1"/>
  <c r="K2" i="5"/>
  <c r="M2" i="5" s="1"/>
  <c r="L4" i="5"/>
  <c r="M4" i="5" s="1"/>
  <c r="K4" i="5" l="1"/>
  <c r="L3" i="5"/>
  <c r="M3" i="5" s="1"/>
  <c r="M5" i="5" s="1"/>
  <c r="M6" i="5" l="1"/>
</calcChain>
</file>

<file path=xl/sharedStrings.xml><?xml version="1.0" encoding="utf-8"?>
<sst xmlns="http://schemas.openxmlformats.org/spreadsheetml/2006/main" count="95" uniqueCount="57">
  <si>
    <t>Date</t>
  </si>
  <si>
    <t>Name</t>
  </si>
  <si>
    <t>Code</t>
  </si>
  <si>
    <t>Quantity</t>
  </si>
  <si>
    <t>Charges</t>
  </si>
  <si>
    <t>Vanguard S&amp;P 500 UCITS ETF (Acc)</t>
  </si>
  <si>
    <t>Gold</t>
  </si>
  <si>
    <t>XAU</t>
  </si>
  <si>
    <t>Type</t>
  </si>
  <si>
    <t>Platform</t>
  </si>
  <si>
    <t>FX_Rate_Used</t>
  </si>
  <si>
    <t>CommonStock</t>
  </si>
  <si>
    <t>revolut</t>
  </si>
  <si>
    <t>USD</t>
  </si>
  <si>
    <t>EURO</t>
  </si>
  <si>
    <t>Currency</t>
  </si>
  <si>
    <t>VUAA.MI</t>
  </si>
  <si>
    <t>Price_Per_Share_EUR</t>
  </si>
  <si>
    <t>Bought</t>
  </si>
  <si>
    <t>Sold</t>
  </si>
  <si>
    <t>Price_Per_Share_FC</t>
  </si>
  <si>
    <t>Notes</t>
  </si>
  <si>
    <t>Status</t>
  </si>
  <si>
    <t>TotalCost_EUR</t>
  </si>
  <si>
    <t>TotalCost_FC</t>
  </si>
  <si>
    <t>Euro</t>
  </si>
  <si>
    <t>Rate</t>
  </si>
  <si>
    <t>For. Curr</t>
  </si>
  <si>
    <t>Note</t>
  </si>
  <si>
    <t>GBP</t>
  </si>
  <si>
    <t>EUR</t>
  </si>
  <si>
    <t>Purch Cost Euro</t>
  </si>
  <si>
    <t>US dollar (USD)</t>
  </si>
  <si>
    <t>ETF</t>
  </si>
  <si>
    <t>Pound sterling (GBP)</t>
  </si>
  <si>
    <t>Invested on:</t>
  </si>
  <si>
    <t>Cash</t>
  </si>
  <si>
    <t>% return (Investment.com)</t>
  </si>
  <si>
    <t>Target Price EURO (investment.com)</t>
  </si>
  <si>
    <t>Target Price FC(investment.com)</t>
  </si>
  <si>
    <t>Uncertainty</t>
  </si>
  <si>
    <t>Invested</t>
  </si>
  <si>
    <t>Euro Equivalent</t>
  </si>
  <si>
    <t>https://www.investing.com/pro/OTCPK:REPYF</t>
  </si>
  <si>
    <t>commodity</t>
  </si>
  <si>
    <t>01.09.2024</t>
  </si>
  <si>
    <t>03.09.2024</t>
  </si>
  <si>
    <t>Elastic</t>
  </si>
  <si>
    <t>04.12.2024</t>
  </si>
  <si>
    <t>07.12.2024</t>
  </si>
  <si>
    <t>The Coca-Cola Company</t>
  </si>
  <si>
    <t>KO</t>
  </si>
  <si>
    <t>09.12.2024</t>
  </si>
  <si>
    <t>ESTC</t>
  </si>
  <si>
    <t>27.06.2025</t>
  </si>
  <si>
    <t>29.01.2026</t>
  </si>
  <si>
    <t>04.02.2026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</si>
</sst>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0"/>
    <numFmt numFmtId="166" formatCode="0.00000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2" borderId="0" xfId="0" applyFill="1"/>
    <xf numFmtId="0" fontId="0" fillId="3" borderId="0" xfId="0" applyFill="1"/>
    <xf numFmtId="0" fontId="1" fillId="4" borderId="0" xfId="0" applyFont="1" applyFill="1" applyAlignment="1">
      <alignment horizontal="center"/>
    </xf>
    <xf numFmtId="0" fontId="1" fillId="4" borderId="0" xfId="0" applyFont="1" applyFill="1"/>
    <xf numFmtId="0" fontId="2" fillId="0" borderId="0" xfId="1"/>
    <xf numFmtId="0" fontId="0" fillId="0" borderId="1" xfId="0" applyBorder="1"/>
    <xf numFmtId="0" fontId="2" fillId="4" borderId="0" xfId="1" applyFill="1"/>
    <xf numFmtId="0" fontId="1" fillId="0" borderId="0" xfId="0" applyFont="1"/>
    <xf numFmtId="0" fontId="2" fillId="0" borderId="0" xfId="1" applyFill="1"/>
    <xf numFmtId="0" fontId="3" fillId="0" borderId="0" xfId="0" applyFont="1"/>
    <xf numFmtId="165" fontId="3" fillId="0" borderId="0" xfId="0" applyNumberFormat="1" applyFont="1"/>
    <xf numFmtId="4" fontId="3" fillId="4" borderId="0" xfId="0" applyNumberFormat="1" applyFont="1" applyFill="1"/>
    <xf numFmtId="2" fontId="0" fillId="4" borderId="0" xfId="0" applyNumberFormat="1" applyFill="1"/>
    <xf numFmtId="166" fontId="4" fillId="5" borderId="0" xfId="0" applyNumberFormat="1" applyFont="1" applyFill="1" applyAlignment="1">
      <alignment horizontal="right"/>
    </xf>
    <xf numFmtId="0" fontId="4" fillId="5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vesting.com/pro/OTCPK:REPYF" TargetMode="External"/><Relationship Id="rId2" Type="http://schemas.openxmlformats.org/officeDocument/2006/relationships/hyperlink" Target="https://www.ecb.europa.eu/stats/policy_and_exchange_rates/euro_reference_exchange_rates/html/eurofxref-graph-gbp.en.html" TargetMode="External"/><Relationship Id="rId1" Type="http://schemas.openxmlformats.org/officeDocument/2006/relationships/hyperlink" Target="https://www.ecb.europa.eu/stats/policy_and_exchange_rates/euro_reference_exchange_rates/html/eurofxref-graph-usd.en.html" TargetMode="External"/><Relationship Id="rId5" Type="http://schemas.openxmlformats.org/officeDocument/2006/relationships/customProperty" Target="../customProperty1.bin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1DC48-F479-4579-898B-C21EE4D7B337}">
  <sheetPr codeName="Sheet1"/>
  <dimension ref="A1:X15"/>
  <sheetViews>
    <sheetView tabSelected="1" zoomScale="98" zoomScaleNormal="98" workbookViewId="0">
      <pane ySplit="1" topLeftCell="A2" activePane="bottomLeft" state="frozen"/>
      <selection pane="bottomLeft" activeCell="H7" sqref="H7"/>
    </sheetView>
  </sheetViews>
  <sheetFormatPr defaultRowHeight="14.4" x14ac:dyDescent="0.3"/>
  <cols>
    <col min="1" max="1" width="17" customWidth="1"/>
    <col min="2" max="2" width="43.33203125" customWidth="1"/>
    <col min="3" max="3" width="12.77734375" customWidth="1"/>
    <col min="4" max="5" width="12" customWidth="1"/>
    <col min="6" max="6" width="14.33203125" customWidth="1"/>
    <col min="7" max="7" width="14" customWidth="1"/>
    <col min="8" max="8" width="19.109375" customWidth="1"/>
    <col min="9" max="9" width="20.88671875" customWidth="1"/>
    <col min="10" max="10" width="18" customWidth="1"/>
    <col min="11" max="11" width="15.109375" customWidth="1"/>
    <col min="16" max="17" width="16.88671875" customWidth="1"/>
    <col min="18" max="18" width="12.5546875" customWidth="1"/>
    <col min="19" max="19" width="10.5546875" bestFit="1" customWidth="1"/>
  </cols>
  <sheetData>
    <row r="1" spans="1:24" s="6" customForma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21</v>
      </c>
      <c r="F1" s="6" t="s">
        <v>8</v>
      </c>
      <c r="G1" s="6" t="s">
        <v>9</v>
      </c>
      <c r="H1" s="6" t="s">
        <v>17</v>
      </c>
      <c r="I1" s="6" t="s">
        <v>20</v>
      </c>
      <c r="J1" s="6" t="s">
        <v>23</v>
      </c>
      <c r="K1" s="6" t="s">
        <v>24</v>
      </c>
      <c r="L1" s="6" t="s">
        <v>4</v>
      </c>
      <c r="M1" s="6" t="s">
        <v>10</v>
      </c>
      <c r="N1" s="6" t="s">
        <v>15</v>
      </c>
      <c r="O1" s="6" t="s">
        <v>22</v>
      </c>
      <c r="P1" s="6" t="s">
        <v>38</v>
      </c>
      <c r="Q1" s="6" t="s">
        <v>39</v>
      </c>
      <c r="R1" s="6" t="s">
        <v>37</v>
      </c>
      <c r="T1" s="6" t="s">
        <v>40</v>
      </c>
      <c r="U1" s="7" t="s">
        <v>32</v>
      </c>
      <c r="V1" s="7" t="s">
        <v>34</v>
      </c>
      <c r="X1" s="9" t="s">
        <v>43</v>
      </c>
    </row>
    <row r="2" spans="1:24" s="10" customFormat="1" x14ac:dyDescent="0.3">
      <c r="A2" t="s">
        <v>46</v>
      </c>
      <c r="B2" t="s">
        <v>47</v>
      </c>
      <c r="C2" t="s">
        <v>53</v>
      </c>
      <c r="D2" s="10">
        <v>1</v>
      </c>
      <c r="F2" t="s">
        <v>11</v>
      </c>
      <c r="G2" t="s">
        <v>12</v>
      </c>
      <c r="J2">
        <f>K2/M2</f>
        <v>49.70178926441352</v>
      </c>
      <c r="K2">
        <v>55</v>
      </c>
      <c r="L2" s="12">
        <v>0.78</v>
      </c>
      <c r="M2" s="12">
        <v>1.1066</v>
      </c>
      <c r="N2" t="s">
        <v>13</v>
      </c>
      <c r="O2" t="s">
        <v>18</v>
      </c>
      <c r="U2" s="11"/>
      <c r="V2" s="11"/>
      <c r="X2" s="11"/>
    </row>
    <row r="3" spans="1:24" s="10" customFormat="1" x14ac:dyDescent="0.3">
      <c r="A3" t="s">
        <v>48</v>
      </c>
      <c r="B3" t="s">
        <v>47</v>
      </c>
      <c r="C3" t="s">
        <v>53</v>
      </c>
      <c r="D3" s="10">
        <v>1</v>
      </c>
      <c r="F3" t="s">
        <v>11</v>
      </c>
      <c r="G3" t="s">
        <v>12</v>
      </c>
      <c r="J3">
        <f>K3/M3</f>
        <v>79.8655175679515</v>
      </c>
      <c r="K3">
        <v>84.33</v>
      </c>
      <c r="L3" s="10">
        <v>0.01</v>
      </c>
      <c r="M3" s="13">
        <v>1.0559000000000001</v>
      </c>
      <c r="N3" t="s">
        <v>13</v>
      </c>
      <c r="O3" s="3" t="s">
        <v>19</v>
      </c>
      <c r="U3" s="11"/>
      <c r="V3" s="11"/>
      <c r="X3" s="11"/>
    </row>
    <row r="4" spans="1:24" s="10" customFormat="1" x14ac:dyDescent="0.3">
      <c r="A4" t="s">
        <v>52</v>
      </c>
      <c r="B4" t="s">
        <v>50</v>
      </c>
      <c r="C4" t="s">
        <v>51</v>
      </c>
      <c r="D4" s="16">
        <v>3.01772879</v>
      </c>
      <c r="F4" t="s">
        <v>11</v>
      </c>
      <c r="G4" t="s">
        <v>12</v>
      </c>
      <c r="H4" s="10">
        <f>I4*M4</f>
        <v>66.366600000000005</v>
      </c>
      <c r="I4" s="10">
        <v>62.61</v>
      </c>
      <c r="J4">
        <f>K4/M4</f>
        <v>178.24528301886792</v>
      </c>
      <c r="K4">
        <v>188.94</v>
      </c>
      <c r="L4" s="10">
        <v>4.9800000000000004</v>
      </c>
      <c r="M4" s="13">
        <v>1.06</v>
      </c>
      <c r="N4" t="s">
        <v>13</v>
      </c>
      <c r="O4" t="s">
        <v>18</v>
      </c>
      <c r="U4" s="11"/>
      <c r="V4" s="11"/>
      <c r="X4" s="11"/>
    </row>
    <row r="5" spans="1:24" s="10" customFormat="1" x14ac:dyDescent="0.3">
      <c r="A5" t="s">
        <v>54</v>
      </c>
      <c r="B5" t="s">
        <v>6</v>
      </c>
      <c r="C5" t="s">
        <v>7</v>
      </c>
      <c r="D5" s="17">
        <v>8.8213E-2</v>
      </c>
      <c r="E5"/>
      <c r="F5" t="s">
        <v>44</v>
      </c>
      <c r="G5" t="s">
        <v>12</v>
      </c>
      <c r="H5" s="10">
        <v>2834.05</v>
      </c>
      <c r="J5" s="10">
        <v>250</v>
      </c>
      <c r="L5" s="10">
        <v>2.5</v>
      </c>
      <c r="N5" t="s">
        <v>14</v>
      </c>
      <c r="O5" t="s">
        <v>18</v>
      </c>
      <c r="U5" s="11"/>
      <c r="V5" s="11"/>
      <c r="X5" s="11"/>
    </row>
    <row r="6" spans="1:24" s="10" customFormat="1" x14ac:dyDescent="0.3">
      <c r="A6" t="s">
        <v>55</v>
      </c>
      <c r="B6" t="s">
        <v>5</v>
      </c>
      <c r="C6" t="s">
        <v>16</v>
      </c>
      <c r="D6" s="17">
        <v>4.4772858299999996</v>
      </c>
      <c r="F6" t="s">
        <v>33</v>
      </c>
      <c r="G6" t="s">
        <v>12</v>
      </c>
      <c r="H6" s="10">
        <v>111.67</v>
      </c>
      <c r="J6" s="10">
        <v>500</v>
      </c>
      <c r="L6" s="10">
        <v>0</v>
      </c>
      <c r="N6" t="s">
        <v>14</v>
      </c>
      <c r="O6" t="s">
        <v>18</v>
      </c>
      <c r="U6" s="11"/>
      <c r="V6" s="11"/>
      <c r="X6" s="11"/>
    </row>
    <row r="7" spans="1:24" s="10" customFormat="1" x14ac:dyDescent="0.3">
      <c r="A7" t="s">
        <v>56</v>
      </c>
      <c r="B7" t="s">
        <v>6</v>
      </c>
      <c r="C7" t="s">
        <v>7</v>
      </c>
      <c r="D7" s="17">
        <v>5.6710999999999998E-2</v>
      </c>
      <c r="F7" t="s">
        <v>44</v>
      </c>
      <c r="G7" t="s">
        <v>12</v>
      </c>
      <c r="H7" s="10">
        <v>4364.6000000000004</v>
      </c>
      <c r="J7" s="15">
        <v>250</v>
      </c>
      <c r="L7" s="15">
        <v>2.48</v>
      </c>
      <c r="N7" t="s">
        <v>14</v>
      </c>
      <c r="O7" t="s">
        <v>18</v>
      </c>
      <c r="U7" s="11"/>
      <c r="V7" s="11"/>
      <c r="X7" s="11"/>
    </row>
    <row r="8" spans="1:24" s="10" customFormat="1" x14ac:dyDescent="0.3">
      <c r="A8" t="s">
        <v>56</v>
      </c>
      <c r="B8" t="s">
        <v>5</v>
      </c>
      <c r="C8" t="s">
        <v>16</v>
      </c>
      <c r="D8" s="17">
        <v>2.2087018299999999</v>
      </c>
      <c r="F8" t="s">
        <v>33</v>
      </c>
      <c r="G8" t="s">
        <v>12</v>
      </c>
      <c r="H8" s="10">
        <v>112.74</v>
      </c>
      <c r="J8" s="10">
        <v>249.01</v>
      </c>
      <c r="L8" s="10">
        <v>1</v>
      </c>
      <c r="N8" t="s">
        <v>14</v>
      </c>
      <c r="O8" t="s">
        <v>18</v>
      </c>
      <c r="U8" s="11"/>
      <c r="V8" s="11"/>
      <c r="X8" s="11"/>
    </row>
    <row r="9" spans="1:24" s="10" customFormat="1" x14ac:dyDescent="0.3">
      <c r="U9" s="11"/>
      <c r="V9" s="11"/>
      <c r="X9" s="11"/>
    </row>
    <row r="10" spans="1:24" s="10" customFormat="1" x14ac:dyDescent="0.3">
      <c r="U10" s="11"/>
      <c r="V10" s="11"/>
      <c r="X10" s="11"/>
    </row>
    <row r="11" spans="1:24" s="10" customFormat="1" x14ac:dyDescent="0.3">
      <c r="U11" s="11"/>
      <c r="V11" s="11"/>
      <c r="X11" s="11"/>
    </row>
    <row r="12" spans="1:24" s="10" customFormat="1" x14ac:dyDescent="0.3">
      <c r="U12" s="11"/>
      <c r="V12" s="11"/>
      <c r="X12" s="11"/>
    </row>
    <row r="13" spans="1:24" s="10" customFormat="1" x14ac:dyDescent="0.3">
      <c r="U13" s="11"/>
      <c r="V13" s="11"/>
      <c r="X13" s="11"/>
    </row>
    <row r="14" spans="1:24" s="10" customFormat="1" x14ac:dyDescent="0.3">
      <c r="U14" s="11"/>
      <c r="V14" s="11"/>
      <c r="X14" s="11"/>
    </row>
    <row r="15" spans="1:24" s="10" customFormat="1" x14ac:dyDescent="0.3">
      <c r="U15" s="11"/>
      <c r="V15" s="11"/>
      <c r="X15" s="11"/>
    </row>
  </sheetData>
  <autoFilter ref="A1:M15" xr:uid="{5E09A18B-ADDB-46AF-9CD2-AF496BA93A46}"/>
  <hyperlinks>
    <hyperlink ref="U1" r:id="rId1" display="https://www.ecb.europa.eu/stats/policy_and_exchange_rates/euro_reference_exchange_rates/html/eurofxref-graph-usd.en.html" xr:uid="{1D3EFCC8-E459-454F-8A9D-8517EAC17B7B}"/>
    <hyperlink ref="V1" r:id="rId2" display="https://www.ecb.europa.eu/stats/policy_and_exchange_rates/euro_reference_exchange_rates/html/eurofxref-graph-gbp.en.html" xr:uid="{7FD5EB64-A6A2-46E1-A92F-970008DF62FC}"/>
    <hyperlink ref="X1" r:id="rId3" xr:uid="{14FA0684-84D1-44A1-A986-A1EC55F966A8}"/>
  </hyperlinks>
  <pageMargins left="0.7" right="0.7" top="0.75" bottom="0.75" header="0.3" footer="0.3"/>
  <pageSetup paperSize="9" orientation="portrait" r:id="rId4"/>
  <customProperties>
    <customPr name="QAA_DRILLPATH_NODE_ID" r:id="rId5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B36C6-4A47-4E81-8B15-25CD3446FD0A}">
  <sheetPr codeName="Sheet2"/>
  <dimension ref="A1:M44"/>
  <sheetViews>
    <sheetView workbookViewId="0">
      <pane ySplit="1" topLeftCell="A2" activePane="bottomLeft" state="frozen"/>
      <selection pane="bottomLeft" activeCell="B6" sqref="B6"/>
    </sheetView>
  </sheetViews>
  <sheetFormatPr defaultRowHeight="14.4" x14ac:dyDescent="0.3"/>
  <cols>
    <col min="1" max="1" width="10.33203125" bestFit="1" customWidth="1"/>
    <col min="6" max="6" width="22.6640625" customWidth="1"/>
    <col min="7" max="7" width="16.77734375" customWidth="1"/>
    <col min="12" max="12" width="13.21875" customWidth="1"/>
    <col min="13" max="13" width="13.6640625" customWidth="1"/>
  </cols>
  <sheetData>
    <row r="1" spans="1:13" x14ac:dyDescent="0.3">
      <c r="A1" s="5" t="s">
        <v>0</v>
      </c>
      <c r="B1" s="5" t="s">
        <v>25</v>
      </c>
      <c r="C1" s="5" t="s">
        <v>26</v>
      </c>
      <c r="D1" s="5" t="s">
        <v>15</v>
      </c>
      <c r="E1" s="5" t="s">
        <v>27</v>
      </c>
      <c r="F1" s="5" t="s">
        <v>28</v>
      </c>
      <c r="G1" s="5" t="s">
        <v>35</v>
      </c>
      <c r="H1" s="5" t="s">
        <v>36</v>
      </c>
      <c r="J1" s="5" t="s">
        <v>15</v>
      </c>
      <c r="K1" s="5" t="s">
        <v>41</v>
      </c>
      <c r="L1" t="s">
        <v>31</v>
      </c>
      <c r="M1" t="s">
        <v>42</v>
      </c>
    </row>
    <row r="2" spans="1:13" x14ac:dyDescent="0.3">
      <c r="A2" t="s">
        <v>45</v>
      </c>
      <c r="B2">
        <v>50.41</v>
      </c>
      <c r="D2" t="s">
        <v>30</v>
      </c>
      <c r="J2" t="s">
        <v>30</v>
      </c>
      <c r="K2">
        <f>SUMIF(D:D,J2,B:B)</f>
        <v>1422.78</v>
      </c>
      <c r="M2">
        <f>K2</f>
        <v>1422.78</v>
      </c>
    </row>
    <row r="3" spans="1:13" x14ac:dyDescent="0.3">
      <c r="A3" t="s">
        <v>49</v>
      </c>
      <c r="B3" s="14">
        <v>119.87</v>
      </c>
      <c r="D3" t="s">
        <v>30</v>
      </c>
      <c r="J3" t="s">
        <v>13</v>
      </c>
      <c r="K3">
        <f>SUMIF(D:D,J3,E:E)</f>
        <v>0</v>
      </c>
      <c r="L3">
        <f>SUMIF(D:D,J3,B:B)</f>
        <v>0</v>
      </c>
      <c r="M3">
        <f>L3</f>
        <v>0</v>
      </c>
    </row>
    <row r="4" spans="1:13" x14ac:dyDescent="0.3">
      <c r="A4" t="s">
        <v>54</v>
      </c>
      <c r="B4" s="15">
        <v>252.5</v>
      </c>
      <c r="D4" t="s">
        <v>30</v>
      </c>
      <c r="J4" t="s">
        <v>29</v>
      </c>
      <c r="K4">
        <f>SUMIF(D:D,J4,E:E)</f>
        <v>0</v>
      </c>
      <c r="L4" s="2">
        <f>SUMIF(D:D,J4,B:B)</f>
        <v>0</v>
      </c>
      <c r="M4" s="2">
        <f>L4</f>
        <v>0</v>
      </c>
    </row>
    <row r="5" spans="1:13" x14ac:dyDescent="0.3">
      <c r="A5" t="s">
        <v>55</v>
      </c>
      <c r="B5">
        <v>500</v>
      </c>
      <c r="D5" t="s">
        <v>30</v>
      </c>
      <c r="M5">
        <f>SUM(L11:L16)</f>
        <v>0</v>
      </c>
    </row>
    <row r="6" spans="1:13" ht="15" thickBot="1" x14ac:dyDescent="0.35">
      <c r="A6" s="1">
        <v>46057</v>
      </c>
      <c r="B6" s="15">
        <v>500</v>
      </c>
      <c r="D6" t="s">
        <v>30</v>
      </c>
      <c r="M6" s="8">
        <f>SUM(M2:M5)</f>
        <v>1422.78</v>
      </c>
    </row>
    <row r="7" spans="1:13" ht="15" thickTop="1" x14ac:dyDescent="0.3">
      <c r="A7" s="1"/>
    </row>
    <row r="8" spans="1:13" x14ac:dyDescent="0.3">
      <c r="A8" s="1"/>
    </row>
    <row r="9" spans="1:13" x14ac:dyDescent="0.3">
      <c r="A9" s="1"/>
    </row>
    <row r="10" spans="1:13" x14ac:dyDescent="0.3">
      <c r="A10" s="1"/>
    </row>
    <row r="11" spans="1:13" x14ac:dyDescent="0.3">
      <c r="A11" s="1"/>
      <c r="C11" s="4"/>
    </row>
    <row r="12" spans="1:13" x14ac:dyDescent="0.3">
      <c r="A12" s="1"/>
    </row>
    <row r="13" spans="1:13" x14ac:dyDescent="0.3">
      <c r="A13" s="1"/>
    </row>
    <row r="14" spans="1:13" x14ac:dyDescent="0.3">
      <c r="A14" s="1"/>
    </row>
    <row r="15" spans="1:13" x14ac:dyDescent="0.3">
      <c r="A15" s="1"/>
    </row>
    <row r="16" spans="1:13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  <row r="26" spans="1:1" x14ac:dyDescent="0.3">
      <c r="A26" s="1"/>
    </row>
    <row r="27" spans="1:1" x14ac:dyDescent="0.3">
      <c r="A27" s="1"/>
    </row>
    <row r="28" spans="1:1" x14ac:dyDescent="0.3">
      <c r="A28" s="1"/>
    </row>
    <row r="29" spans="1:1" x14ac:dyDescent="0.3">
      <c r="A29" s="1"/>
    </row>
    <row r="30" spans="1:1" x14ac:dyDescent="0.3">
      <c r="A30" s="1"/>
    </row>
    <row r="31" spans="1:1" x14ac:dyDescent="0.3">
      <c r="A31" s="1"/>
    </row>
    <row r="32" spans="1:1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</sheetData>
  <pageMargins left="0.7" right="0.7" top="0.75" bottom="0.75" header="0.3" footer="0.3"/>
  <customProperties>
    <customPr name="QAA_DRILLPATH_NODE_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WorkbookDrillPathInfo xmlns:xsd="http://www.w3.org/2001/XMLSchema" xmlns:xsi="http://www.w3.org/2001/XMLSchema-instance" xmlns="http://www.infor.com/qaa/DrillPath">
  <CurrentDrillPath>
    <DrillPathNode AnalysisType="NONE" Id="0cab7834-c2a2-497e-8b20-4380c0499ae5" Name="Transactions" HandleSummaryReportOnly="false" Source="">
      <SuppressZero>false</SuppressZero>
      <Children/>
    </DrillPathNode>
    <DrillPathNode AnalysisType="NONE" Id="4b15d721-017f-41ff-a78c-686fcf07a05a" Name="Introduced Capital" HandleSummaryReportOnly="false" Source="">
      <SuppressZero>false</SuppressZero>
      <Children/>
    </DrillPathNode>
  </CurrentDrillPath>
  <SavedDrillPath/>
</WorkbookDrillPathInfo>
</file>

<file path=customXml/itemProps1.xml><?xml version="1.0" encoding="utf-8"?>
<ds:datastoreItem xmlns:ds="http://schemas.openxmlformats.org/officeDocument/2006/customXml" ds:itemID="{B5B1827E-D7D6-4163-91B8-2D92E005576C}">
  <ds:schemaRefs>
    <ds:schemaRef ds:uri="http://www.w3.org/2001/XMLSchema"/>
    <ds:schemaRef ds:uri="http://www.infor.com/qaa/DrillPath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Introduced Capital</vt:lpstr>
    </vt:vector>
  </TitlesOfParts>
  <Company>Computime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Jean-Paul Galea</dc:creator>
  <cp:lastModifiedBy>Jean-Paul Galea</cp:lastModifiedBy>
  <dcterms:created xsi:type="dcterms:W3CDTF">2025-09-09T15:38:53Z</dcterms:created>
  <dcterms:modified xsi:type="dcterms:W3CDTF">2026-03-30T14:42:39Z</dcterms:modified>
</cp:coreProperties>
</file>