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ctimemt-my.sharepoint.com/personal/jpgalea_computime_com_mt/Documents/Documents/JP folder/Investments/Kathleen investments/"/>
    </mc:Choice>
  </mc:AlternateContent>
  <xr:revisionPtr revIDLastSave="74" documentId="8_{F9659319-8282-40A4-A744-6D44A79FC596}" xr6:coauthVersionLast="47" xr6:coauthVersionMax="47" xr10:uidLastSave="{C6F7E474-792D-4071-B325-0133357859D2}"/>
  <bookViews>
    <workbookView xWindow="-28920" yWindow="-120" windowWidth="29040" windowHeight="15720" xr2:uid="{63AD4105-E52D-46FC-BCFA-6F1752685CAC}"/>
  </bookViews>
  <sheets>
    <sheet name="Transactions" sheetId="3" r:id="rId1"/>
    <sheet name="Introduced Capital" sheetId="5" r:id="rId2"/>
    <sheet name="Income Received" sheetId="6" r:id="rId3"/>
  </sheets>
  <definedNames>
    <definedName name="_xlnm._FilterDatabase" localSheetId="0" hidden="1">Transactions!$A$1:$AA$1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3" l="1"/>
  <c r="H10" i="3"/>
  <c r="J10" i="3"/>
  <c r="K4" i="5"/>
  <c r="P4" i="5" s="1"/>
  <c r="P27" i="3"/>
  <c r="Q27" i="3"/>
  <c r="P28" i="3"/>
  <c r="Q28" i="3"/>
  <c r="P29" i="3"/>
  <c r="Q29" i="3"/>
  <c r="P30" i="3"/>
  <c r="Q30" i="3"/>
  <c r="P31" i="3"/>
  <c r="Q31" i="3"/>
  <c r="P32" i="3"/>
  <c r="Q32" i="3"/>
  <c r="P33" i="3"/>
  <c r="Q33" i="3"/>
  <c r="P34" i="3"/>
  <c r="Q34" i="3"/>
  <c r="P35" i="3"/>
  <c r="Q35" i="3"/>
  <c r="P36" i="3"/>
  <c r="Q36" i="3"/>
  <c r="P37" i="3"/>
  <c r="Q37" i="3"/>
  <c r="P38" i="3"/>
  <c r="Q38" i="3"/>
  <c r="P39" i="3"/>
  <c r="Q39" i="3"/>
  <c r="P40" i="3"/>
  <c r="Q40" i="3"/>
  <c r="P41" i="3"/>
  <c r="Q41" i="3"/>
  <c r="P42" i="3"/>
  <c r="Q42" i="3"/>
  <c r="P43" i="3"/>
  <c r="Q43" i="3"/>
  <c r="P44" i="3"/>
  <c r="Q44" i="3"/>
  <c r="P45" i="3"/>
  <c r="Q45" i="3"/>
  <c r="P46" i="3"/>
  <c r="Q46" i="3"/>
  <c r="P47" i="3"/>
  <c r="Q47" i="3"/>
  <c r="P48" i="3"/>
  <c r="Q48" i="3"/>
  <c r="P49" i="3"/>
  <c r="Q49" i="3"/>
  <c r="P50" i="3"/>
  <c r="Q50" i="3"/>
  <c r="P51" i="3"/>
  <c r="Q51" i="3"/>
  <c r="P52" i="3"/>
  <c r="Q52" i="3"/>
  <c r="P53" i="3"/>
  <c r="Q53" i="3"/>
  <c r="P54" i="3"/>
  <c r="Q54" i="3"/>
  <c r="P55" i="3"/>
  <c r="Q55" i="3"/>
  <c r="P56" i="3"/>
  <c r="Q56" i="3"/>
  <c r="P57" i="3"/>
  <c r="Q57" i="3"/>
  <c r="P58" i="3"/>
  <c r="Q58" i="3"/>
  <c r="J4" i="3"/>
  <c r="H4" i="3"/>
  <c r="J3" i="3"/>
  <c r="J2" i="3"/>
  <c r="P4" i="3"/>
  <c r="Q4" i="3"/>
  <c r="P5" i="3"/>
  <c r="Q5" i="3"/>
  <c r="P6" i="3"/>
  <c r="Q6" i="3"/>
  <c r="P7" i="3"/>
  <c r="Q7" i="3"/>
  <c r="P8" i="3"/>
  <c r="Q8" i="3"/>
  <c r="P9" i="3"/>
  <c r="Q9" i="3"/>
  <c r="P10" i="3"/>
  <c r="Q10" i="3"/>
  <c r="P11" i="3"/>
  <c r="Q11" i="3"/>
  <c r="P12" i="3"/>
  <c r="Q12" i="3"/>
  <c r="P13" i="3"/>
  <c r="Q13" i="3"/>
  <c r="P14" i="3"/>
  <c r="Q14" i="3"/>
  <c r="P15" i="3"/>
  <c r="Q15" i="3"/>
  <c r="P16" i="3"/>
  <c r="Q16" i="3"/>
  <c r="P17" i="3"/>
  <c r="Q17" i="3"/>
  <c r="P18" i="3"/>
  <c r="Q18" i="3"/>
  <c r="P19" i="3"/>
  <c r="Q19" i="3"/>
  <c r="P20" i="3"/>
  <c r="Q20" i="3"/>
  <c r="P21" i="3"/>
  <c r="Q21" i="3"/>
  <c r="P22" i="3"/>
  <c r="Q22" i="3"/>
  <c r="P23" i="3"/>
  <c r="Q23" i="3"/>
  <c r="P24" i="3"/>
  <c r="Q24" i="3"/>
  <c r="P25" i="3"/>
  <c r="Q25" i="3"/>
  <c r="P26" i="3"/>
  <c r="Q26" i="3"/>
  <c r="P2" i="3"/>
  <c r="Q2" i="3"/>
  <c r="P3" i="3"/>
  <c r="Q3" i="3"/>
  <c r="R4" i="5"/>
  <c r="R6" i="5"/>
  <c r="Q6" i="5"/>
  <c r="R5" i="5"/>
  <c r="H6" i="6"/>
  <c r="F6" i="6"/>
  <c r="G6" i="6" s="1"/>
  <c r="H5" i="6"/>
  <c r="F5" i="6"/>
  <c r="G5" i="6" l="1"/>
  <c r="K5" i="5" l="1"/>
  <c r="P5" i="5" s="1"/>
  <c r="M4" i="5"/>
  <c r="L6" i="5"/>
  <c r="M6" i="5" s="1"/>
  <c r="Q4" i="5"/>
  <c r="S4" i="5" s="1"/>
  <c r="Q5" i="5" l="1"/>
  <c r="S5" i="5" s="1"/>
  <c r="K6" i="5"/>
  <c r="P6" i="5" s="1"/>
  <c r="S6" i="5" s="1"/>
  <c r="L5" i="5"/>
  <c r="M5" i="5" s="1"/>
  <c r="M7" i="5" s="1"/>
  <c r="M11" i="5" l="1"/>
</calcChain>
</file>

<file path=xl/sharedStrings.xml><?xml version="1.0" encoding="utf-8"?>
<sst xmlns="http://schemas.openxmlformats.org/spreadsheetml/2006/main" count="163" uniqueCount="91">
  <si>
    <t>Date</t>
  </si>
  <si>
    <t>Name</t>
  </si>
  <si>
    <t>Code</t>
  </si>
  <si>
    <t>Quantity</t>
  </si>
  <si>
    <t>Charges</t>
  </si>
  <si>
    <t>Vanguard S&amp;P 500 UCITS ETF (Acc)</t>
  </si>
  <si>
    <t>Gold</t>
  </si>
  <si>
    <t>XAU</t>
  </si>
  <si>
    <t>Type</t>
  </si>
  <si>
    <t>Platform</t>
  </si>
  <si>
    <t>FX_Rate_Used</t>
  </si>
  <si>
    <t>CommonStock</t>
  </si>
  <si>
    <t>revolut</t>
  </si>
  <si>
    <t>USD</t>
  </si>
  <si>
    <t>EURO</t>
  </si>
  <si>
    <t>Currency</t>
  </si>
  <si>
    <t>VUAA.MI</t>
  </si>
  <si>
    <t>Price_Per_Share_EUR</t>
  </si>
  <si>
    <t>Bought</t>
  </si>
  <si>
    <t>Sold</t>
  </si>
  <si>
    <t>Price_Per_Share_FC</t>
  </si>
  <si>
    <t>Notes</t>
  </si>
  <si>
    <t>Status</t>
  </si>
  <si>
    <t>TotalCost_EUR</t>
  </si>
  <si>
    <t>TotalCost_FC</t>
  </si>
  <si>
    <t>Euro</t>
  </si>
  <si>
    <t>Rate</t>
  </si>
  <si>
    <t>For. Curr</t>
  </si>
  <si>
    <t>Note</t>
  </si>
  <si>
    <t>GBP</t>
  </si>
  <si>
    <t>EUR</t>
  </si>
  <si>
    <t>Purch Cost Euro</t>
  </si>
  <si>
    <t>US dollar (USD)</t>
  </si>
  <si>
    <t>ETF</t>
  </si>
  <si>
    <t>Pound sterling (GBP)</t>
  </si>
  <si>
    <t>Invested on:</t>
  </si>
  <si>
    <t>Cash</t>
  </si>
  <si>
    <t>1SXP.DE</t>
  </si>
  <si>
    <t>SCHOTT Pharma AG &amp; Co. KGaA</t>
  </si>
  <si>
    <t>% return (Investment.com)</t>
  </si>
  <si>
    <t>Target Price EURO (investment.com)</t>
  </si>
  <si>
    <t>Target Price FC(investment.com)</t>
  </si>
  <si>
    <t>Uncertainty</t>
  </si>
  <si>
    <t>Invested</t>
  </si>
  <si>
    <t>Euro Equivalent</t>
  </si>
  <si>
    <t>https://www.investing.com/pro/OTCPK:REPYF</t>
  </si>
  <si>
    <t>commodity</t>
  </si>
  <si>
    <t>WDH1.HA</t>
  </si>
  <si>
    <t>Total Euro Value Invested</t>
  </si>
  <si>
    <t xml:space="preserve">currency </t>
  </si>
  <si>
    <t>FC Amount</t>
  </si>
  <si>
    <t>FX</t>
  </si>
  <si>
    <t xml:space="preserve">Dividend </t>
  </si>
  <si>
    <t>Interest</t>
  </si>
  <si>
    <t>Revolut</t>
  </si>
  <si>
    <t>Ticker</t>
  </si>
  <si>
    <t>Company Name</t>
  </si>
  <si>
    <t>Source Notes</t>
  </si>
  <si>
    <t>Revolut Transactions</t>
  </si>
  <si>
    <t>Revolut Bank Statement</t>
  </si>
  <si>
    <t>Other Income Received from Investments - Enter here the Dividend income and the interest earned on Parked Funds</t>
  </si>
  <si>
    <t>Parked cash</t>
  </si>
  <si>
    <t>Intoduced</t>
  </si>
  <si>
    <t>Net Return</t>
  </si>
  <si>
    <t>Income</t>
  </si>
  <si>
    <t>Total</t>
  </si>
  <si>
    <t>FC</t>
  </si>
  <si>
    <t>Cash Invested</t>
  </si>
  <si>
    <t xml:space="preserve">Parked Cash </t>
  </si>
  <si>
    <t>Exit Reason</t>
  </si>
  <si>
    <t>03.09.2024</t>
  </si>
  <si>
    <t>Elastic</t>
  </si>
  <si>
    <t>ESTC</t>
  </si>
  <si>
    <t>04.12.2024</t>
  </si>
  <si>
    <t>09.12.2024</t>
  </si>
  <si>
    <t>The Coca-Cola Company</t>
  </si>
  <si>
    <t>KO</t>
  </si>
  <si>
    <t>27.06.2025</t>
  </si>
  <si>
    <t>29.01.2026</t>
  </si>
  <si>
    <t>04.02.2026</t>
  </si>
  <si>
    <t>01.09.2024</t>
  </si>
  <si>
    <t>07.12.2024</t>
  </si>
  <si>
    <t>27.03.2026</t>
  </si>
  <si>
    <t>02.04.2026</t>
  </si>
  <si>
    <t>06.04.2026</t>
  </si>
  <si>
    <t>Transfer to USD Balance to Eur</t>
  </si>
  <si>
    <t>$235.19</t>
  </si>
  <si>
    <t>07.04.2026</t>
  </si>
  <si>
    <t>Dermant</t>
  </si>
  <si>
    <t>Prysmian Group</t>
  </si>
  <si>
    <t>PRY.MI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</si>
</sst>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00"/>
    <numFmt numFmtId="166" formatCode="[$€-2]\ #,##0.00;[Red]\-[$€-2]\ #,##0.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1" fillId="4" borderId="0" xfId="0" applyFont="1" applyFill="1" applyAlignment="1">
      <alignment horizontal="center"/>
    </xf>
    <xf numFmtId="0" fontId="1" fillId="4" borderId="0" xfId="0" applyFont="1" applyFill="1"/>
    <xf numFmtId="0" fontId="2" fillId="0" borderId="0" xfId="1"/>
    <xf numFmtId="0" fontId="2" fillId="4" borderId="0" xfId="1" applyFill="1"/>
    <xf numFmtId="0" fontId="1" fillId="0" borderId="0" xfId="0" applyFont="1"/>
    <xf numFmtId="38" fontId="0" fillId="0" borderId="0" xfId="0" applyNumberFormat="1"/>
    <xf numFmtId="38" fontId="0" fillId="0" borderId="1" xfId="0" applyNumberFormat="1" applyBorder="1"/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 wrapText="1"/>
    </xf>
    <xf numFmtId="0" fontId="4" fillId="6" borderId="0" xfId="0" applyFont="1" applyFill="1" applyAlignment="1">
      <alignment horizontal="center" wrapText="1"/>
    </xf>
    <xf numFmtId="0" fontId="6" fillId="0" borderId="0" xfId="0" applyFont="1"/>
    <xf numFmtId="164" fontId="6" fillId="0" borderId="0" xfId="0" applyNumberFormat="1" applyFont="1"/>
    <xf numFmtId="165" fontId="5" fillId="7" borderId="0" xfId="0" applyNumberFormat="1" applyFont="1" applyFill="1" applyAlignment="1">
      <alignment horizontal="right"/>
    </xf>
    <xf numFmtId="0" fontId="5" fillId="7" borderId="0" xfId="0" applyFont="1" applyFill="1"/>
    <xf numFmtId="2" fontId="0" fillId="4" borderId="0" xfId="0" applyNumberFormat="1" applyFill="1"/>
    <xf numFmtId="4" fontId="6" fillId="4" borderId="0" xfId="0" applyNumberFormat="1" applyFont="1" applyFill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vesting.com/pro/OTCPK:REPYF" TargetMode="External"/><Relationship Id="rId7" Type="http://schemas.openxmlformats.org/officeDocument/2006/relationships/customProperty" Target="../customProperty1.bin"/><Relationship Id="rId2" Type="http://schemas.openxmlformats.org/officeDocument/2006/relationships/hyperlink" Target="https://www.ecb.europa.eu/stats/policy_and_exchange_rates/euro_reference_exchange_rates/html/eurofxref-graph-gbp.en.html" TargetMode="External"/><Relationship Id="rId1" Type="http://schemas.openxmlformats.org/officeDocument/2006/relationships/hyperlink" Target="https://www.ecb.europa.eu/stats/policy_and_exchange_rates/euro_reference_exchange_rates/html/eurofxref-graph-usd.en.html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finance.yahoo.com/quote/PRY.MI" TargetMode="External"/><Relationship Id="rId4" Type="http://schemas.openxmlformats.org/officeDocument/2006/relationships/hyperlink" Target="https://finance.yahoo.com/quote/WDH1.HA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1DC48-F479-4579-898B-C21EE4D7B337}">
  <sheetPr codeName="Sheet1"/>
  <dimension ref="A1:AA58"/>
  <sheetViews>
    <sheetView tabSelected="1" zoomScale="98" zoomScaleNormal="98" workbookViewId="0">
      <pane ySplit="1" topLeftCell="A2" activePane="bottomLeft" state="frozen"/>
      <selection pane="bottomLeft" activeCell="J11" sqref="J11"/>
    </sheetView>
  </sheetViews>
  <sheetFormatPr defaultRowHeight="14.4" x14ac:dyDescent="0.3"/>
  <cols>
    <col min="1" max="1" width="17" customWidth="1"/>
    <col min="2" max="2" width="43.33203125" customWidth="1"/>
    <col min="3" max="3" width="12.77734375" customWidth="1"/>
    <col min="4" max="5" width="12" customWidth="1"/>
    <col min="6" max="6" width="14.33203125" customWidth="1"/>
    <col min="7" max="7" width="14" customWidth="1"/>
    <col min="8" max="8" width="19.109375" customWidth="1"/>
    <col min="9" max="9" width="20.88671875" customWidth="1"/>
    <col min="10" max="10" width="18" customWidth="1"/>
    <col min="11" max="11" width="15.109375" customWidth="1"/>
    <col min="18" max="19" width="16.88671875" customWidth="1"/>
    <col min="20" max="20" width="12.5546875" customWidth="1"/>
    <col min="21" max="21" width="10.5546875" bestFit="1" customWidth="1"/>
  </cols>
  <sheetData>
    <row r="1" spans="1:27" s="5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21</v>
      </c>
      <c r="F1" s="5" t="s">
        <v>8</v>
      </c>
      <c r="G1" s="5" t="s">
        <v>9</v>
      </c>
      <c r="H1" s="5" t="s">
        <v>17</v>
      </c>
      <c r="I1" s="5" t="s">
        <v>20</v>
      </c>
      <c r="J1" s="5" t="s">
        <v>23</v>
      </c>
      <c r="K1" s="5" t="s">
        <v>24</v>
      </c>
      <c r="L1" s="5" t="s">
        <v>4</v>
      </c>
      <c r="M1" s="5" t="s">
        <v>10</v>
      </c>
      <c r="N1" s="5" t="s">
        <v>15</v>
      </c>
      <c r="O1" s="5" t="s">
        <v>22</v>
      </c>
      <c r="P1" s="5" t="s">
        <v>66</v>
      </c>
      <c r="Q1" s="5" t="s">
        <v>25</v>
      </c>
      <c r="R1" s="5" t="s">
        <v>40</v>
      </c>
      <c r="S1" s="5" t="s">
        <v>41</v>
      </c>
      <c r="T1" s="5" t="s">
        <v>39</v>
      </c>
      <c r="V1" s="5" t="s">
        <v>42</v>
      </c>
      <c r="W1" s="5" t="s">
        <v>69</v>
      </c>
      <c r="X1" s="6" t="s">
        <v>32</v>
      </c>
      <c r="Y1" s="6" t="s">
        <v>34</v>
      </c>
      <c r="AA1" s="7" t="s">
        <v>45</v>
      </c>
    </row>
    <row r="2" spans="1:27" x14ac:dyDescent="0.3">
      <c r="A2" t="s">
        <v>70</v>
      </c>
      <c r="B2" t="s">
        <v>71</v>
      </c>
      <c r="C2" t="s">
        <v>72</v>
      </c>
      <c r="D2" s="8">
        <v>1</v>
      </c>
      <c r="E2" s="8"/>
      <c r="F2" t="s">
        <v>11</v>
      </c>
      <c r="G2" t="s">
        <v>12</v>
      </c>
      <c r="H2" s="8"/>
      <c r="I2" s="8"/>
      <c r="J2">
        <f>K2/M2</f>
        <v>49.70178926441352</v>
      </c>
      <c r="K2">
        <v>55</v>
      </c>
      <c r="L2" s="14">
        <v>0.78</v>
      </c>
      <c r="M2" s="14">
        <v>1.1066</v>
      </c>
      <c r="N2" t="s">
        <v>13</v>
      </c>
      <c r="O2" t="s">
        <v>18</v>
      </c>
      <c r="P2">
        <f t="shared" ref="P2:P4" si="0">IF(O2="Bought",-K2,K2)</f>
        <v>-55</v>
      </c>
      <c r="Q2">
        <f t="shared" ref="Q2:Q4" si="1">IF(N2="Euro",(IF(AND(N2="EURO",O2="Bought"),-J2,J2)),0)</f>
        <v>0</v>
      </c>
    </row>
    <row r="3" spans="1:27" x14ac:dyDescent="0.3">
      <c r="A3" t="s">
        <v>73</v>
      </c>
      <c r="B3" t="s">
        <v>71</v>
      </c>
      <c r="C3" t="s">
        <v>72</v>
      </c>
      <c r="D3" s="8">
        <v>1</v>
      </c>
      <c r="E3" s="8"/>
      <c r="F3" t="s">
        <v>11</v>
      </c>
      <c r="G3" t="s">
        <v>12</v>
      </c>
      <c r="H3" s="8"/>
      <c r="I3" s="8"/>
      <c r="J3">
        <f>K3/M3</f>
        <v>79.8655175679515</v>
      </c>
      <c r="K3">
        <v>84.33</v>
      </c>
      <c r="L3" s="8">
        <v>0.01</v>
      </c>
      <c r="M3" s="15">
        <v>1.0559000000000001</v>
      </c>
      <c r="N3" t="s">
        <v>13</v>
      </c>
      <c r="O3" s="2" t="s">
        <v>19</v>
      </c>
      <c r="P3">
        <f t="shared" si="0"/>
        <v>84.33</v>
      </c>
      <c r="Q3">
        <f t="shared" si="1"/>
        <v>0</v>
      </c>
    </row>
    <row r="4" spans="1:27" x14ac:dyDescent="0.3">
      <c r="A4" t="s">
        <v>74</v>
      </c>
      <c r="B4" t="s">
        <v>75</v>
      </c>
      <c r="C4" t="s">
        <v>76</v>
      </c>
      <c r="D4" s="16">
        <v>3.01772879</v>
      </c>
      <c r="E4" s="8"/>
      <c r="F4" t="s">
        <v>11</v>
      </c>
      <c r="G4" t="s">
        <v>12</v>
      </c>
      <c r="H4" s="8">
        <f>I4*M4</f>
        <v>66.366600000000005</v>
      </c>
      <c r="I4" s="8">
        <v>62.61</v>
      </c>
      <c r="J4">
        <f>K4/M4</f>
        <v>178.24528301886792</v>
      </c>
      <c r="K4">
        <v>188.94</v>
      </c>
      <c r="L4" s="8">
        <v>4.9800000000000004</v>
      </c>
      <c r="M4" s="15">
        <v>1.06</v>
      </c>
      <c r="N4" t="s">
        <v>13</v>
      </c>
      <c r="O4" t="s">
        <v>18</v>
      </c>
      <c r="P4">
        <f t="shared" si="0"/>
        <v>-188.94</v>
      </c>
      <c r="Q4">
        <f t="shared" si="1"/>
        <v>0</v>
      </c>
    </row>
    <row r="5" spans="1:27" x14ac:dyDescent="0.3">
      <c r="A5" t="s">
        <v>77</v>
      </c>
      <c r="B5" t="s">
        <v>6</v>
      </c>
      <c r="C5" t="s">
        <v>7</v>
      </c>
      <c r="D5" s="17">
        <v>8.8213E-2</v>
      </c>
      <c r="F5" t="s">
        <v>46</v>
      </c>
      <c r="G5" t="s">
        <v>12</v>
      </c>
      <c r="H5" s="8">
        <v>2834.05</v>
      </c>
      <c r="I5" s="8"/>
      <c r="J5" s="8">
        <v>250</v>
      </c>
      <c r="K5" s="8"/>
      <c r="L5" s="8">
        <v>2.5</v>
      </c>
      <c r="M5" s="8"/>
      <c r="N5" t="s">
        <v>14</v>
      </c>
      <c r="O5" t="s">
        <v>18</v>
      </c>
      <c r="P5">
        <f t="shared" ref="P5:P26" si="2">IF(O5="Bought",-K5,K5)</f>
        <v>0</v>
      </c>
      <c r="Q5">
        <f t="shared" ref="Q5:Q26" si="3">IF(N5="Euro",(IF(AND(N5="EURO",O5="Bought"),-J5,J5)),0)</f>
        <v>-250</v>
      </c>
    </row>
    <row r="6" spans="1:27" x14ac:dyDescent="0.3">
      <c r="A6" t="s">
        <v>78</v>
      </c>
      <c r="B6" t="s">
        <v>5</v>
      </c>
      <c r="C6" t="s">
        <v>16</v>
      </c>
      <c r="D6" s="17">
        <v>4.4772858299999996</v>
      </c>
      <c r="E6" s="8"/>
      <c r="F6" t="s">
        <v>33</v>
      </c>
      <c r="G6" t="s">
        <v>12</v>
      </c>
      <c r="H6" s="8">
        <v>111.67</v>
      </c>
      <c r="I6" s="8"/>
      <c r="J6" s="8">
        <v>500</v>
      </c>
      <c r="K6" s="8"/>
      <c r="L6" s="8">
        <v>0</v>
      </c>
      <c r="M6" s="8"/>
      <c r="N6" t="s">
        <v>14</v>
      </c>
      <c r="O6" t="s">
        <v>18</v>
      </c>
      <c r="P6">
        <f t="shared" si="2"/>
        <v>0</v>
      </c>
      <c r="Q6">
        <f t="shared" si="3"/>
        <v>-500</v>
      </c>
    </row>
    <row r="7" spans="1:27" x14ac:dyDescent="0.3">
      <c r="A7" t="s">
        <v>79</v>
      </c>
      <c r="B7" t="s">
        <v>6</v>
      </c>
      <c r="C7" t="s">
        <v>7</v>
      </c>
      <c r="D7" s="17">
        <v>5.6710999999999998E-2</v>
      </c>
      <c r="E7" s="8"/>
      <c r="F7" t="s">
        <v>46</v>
      </c>
      <c r="G7" t="s">
        <v>12</v>
      </c>
      <c r="H7" s="8">
        <v>4364.6000000000004</v>
      </c>
      <c r="I7" s="8"/>
      <c r="J7" s="18">
        <v>250</v>
      </c>
      <c r="K7" s="8"/>
      <c r="L7" s="18">
        <v>2.48</v>
      </c>
      <c r="M7" s="8"/>
      <c r="N7" t="s">
        <v>14</v>
      </c>
      <c r="O7" t="s">
        <v>18</v>
      </c>
      <c r="P7">
        <f t="shared" si="2"/>
        <v>0</v>
      </c>
      <c r="Q7">
        <f t="shared" si="3"/>
        <v>-250</v>
      </c>
    </row>
    <row r="8" spans="1:27" x14ac:dyDescent="0.3">
      <c r="A8" t="s">
        <v>79</v>
      </c>
      <c r="B8" t="s">
        <v>5</v>
      </c>
      <c r="C8" t="s">
        <v>16</v>
      </c>
      <c r="D8" s="17">
        <v>2.2087018299999999</v>
      </c>
      <c r="E8" s="8"/>
      <c r="F8" t="s">
        <v>33</v>
      </c>
      <c r="G8" t="s">
        <v>12</v>
      </c>
      <c r="H8" s="8">
        <v>112.74</v>
      </c>
      <c r="I8" s="8"/>
      <c r="J8" s="8">
        <v>249.01</v>
      </c>
      <c r="K8" s="8"/>
      <c r="L8" s="8">
        <v>1</v>
      </c>
      <c r="M8" s="8"/>
      <c r="N8" t="s">
        <v>14</v>
      </c>
      <c r="O8" t="s">
        <v>18</v>
      </c>
      <c r="P8">
        <f t="shared" si="2"/>
        <v>0</v>
      </c>
      <c r="Q8">
        <f t="shared" si="3"/>
        <v>-249.01</v>
      </c>
    </row>
    <row r="9" spans="1:27" x14ac:dyDescent="0.3">
      <c r="A9" t="s">
        <v>82</v>
      </c>
      <c r="B9" t="s">
        <v>89</v>
      </c>
      <c r="C9" t="s">
        <v>90</v>
      </c>
      <c r="D9">
        <v>5.2815410600000003</v>
      </c>
      <c r="F9" t="s">
        <v>11</v>
      </c>
      <c r="G9" t="s">
        <v>12</v>
      </c>
      <c r="H9">
        <v>94.48</v>
      </c>
      <c r="J9" s="20">
        <v>499</v>
      </c>
      <c r="L9" s="20">
        <v>1</v>
      </c>
      <c r="N9" t="s">
        <v>14</v>
      </c>
      <c r="O9" t="s">
        <v>18</v>
      </c>
      <c r="P9">
        <f t="shared" si="2"/>
        <v>0</v>
      </c>
      <c r="Q9">
        <f t="shared" si="3"/>
        <v>-499</v>
      </c>
    </row>
    <row r="10" spans="1:27" x14ac:dyDescent="0.3">
      <c r="A10" t="s">
        <v>83</v>
      </c>
      <c r="B10" t="s">
        <v>75</v>
      </c>
      <c r="C10" t="s">
        <v>76</v>
      </c>
      <c r="D10" s="16">
        <v>3.01772879</v>
      </c>
      <c r="F10" t="s">
        <v>11</v>
      </c>
      <c r="G10" t="s">
        <v>12</v>
      </c>
      <c r="H10">
        <f>I10/$M$10</f>
        <v>66.446854663774403</v>
      </c>
      <c r="I10">
        <v>76.58</v>
      </c>
      <c r="J10">
        <f>K10/$M$10</f>
        <v>200.52060737527114</v>
      </c>
      <c r="K10">
        <v>231.1</v>
      </c>
      <c r="L10">
        <f>1.16/M10</f>
        <v>1.0065075921908893</v>
      </c>
      <c r="M10">
        <v>1.1525000000000001</v>
      </c>
      <c r="N10" t="s">
        <v>13</v>
      </c>
      <c r="O10" s="2" t="s">
        <v>19</v>
      </c>
      <c r="P10">
        <f t="shared" si="2"/>
        <v>231.1</v>
      </c>
      <c r="Q10">
        <f t="shared" si="3"/>
        <v>0</v>
      </c>
    </row>
    <row r="11" spans="1:27" x14ac:dyDescent="0.3">
      <c r="A11" t="s">
        <v>87</v>
      </c>
      <c r="B11" t="s">
        <v>88</v>
      </c>
      <c r="C11" t="s">
        <v>47</v>
      </c>
      <c r="D11">
        <v>19.12384969</v>
      </c>
      <c r="F11" t="s">
        <v>11</v>
      </c>
      <c r="G11" t="s">
        <v>12</v>
      </c>
      <c r="H11">
        <v>26.08</v>
      </c>
      <c r="J11">
        <v>498.75</v>
      </c>
      <c r="L11">
        <v>1.25</v>
      </c>
      <c r="N11" t="s">
        <v>14</v>
      </c>
      <c r="O11" t="s">
        <v>18</v>
      </c>
      <c r="P11">
        <f t="shared" si="2"/>
        <v>0</v>
      </c>
      <c r="Q11">
        <f t="shared" si="3"/>
        <v>-498.75</v>
      </c>
    </row>
    <row r="12" spans="1:27" x14ac:dyDescent="0.3">
      <c r="I12" s="20"/>
      <c r="P12">
        <f t="shared" si="2"/>
        <v>0</v>
      </c>
      <c r="Q12">
        <f t="shared" si="3"/>
        <v>0</v>
      </c>
    </row>
    <row r="13" spans="1:27" x14ac:dyDescent="0.3">
      <c r="P13">
        <f t="shared" si="2"/>
        <v>0</v>
      </c>
      <c r="Q13">
        <f t="shared" si="3"/>
        <v>0</v>
      </c>
    </row>
    <row r="14" spans="1:27" x14ac:dyDescent="0.3">
      <c r="P14">
        <f t="shared" si="2"/>
        <v>0</v>
      </c>
      <c r="Q14">
        <f t="shared" si="3"/>
        <v>0</v>
      </c>
    </row>
    <row r="15" spans="1:27" x14ac:dyDescent="0.3">
      <c r="P15">
        <f t="shared" si="2"/>
        <v>0</v>
      </c>
      <c r="Q15">
        <f t="shared" si="3"/>
        <v>0</v>
      </c>
    </row>
    <row r="16" spans="1:27" x14ac:dyDescent="0.3">
      <c r="P16">
        <f t="shared" si="2"/>
        <v>0</v>
      </c>
      <c r="Q16">
        <f t="shared" si="3"/>
        <v>0</v>
      </c>
    </row>
    <row r="17" spans="3:17" x14ac:dyDescent="0.3">
      <c r="P17">
        <f t="shared" si="2"/>
        <v>0</v>
      </c>
      <c r="Q17">
        <f t="shared" si="3"/>
        <v>0</v>
      </c>
    </row>
    <row r="18" spans="3:17" x14ac:dyDescent="0.3">
      <c r="P18">
        <f t="shared" si="2"/>
        <v>0</v>
      </c>
      <c r="Q18">
        <f t="shared" si="3"/>
        <v>0</v>
      </c>
    </row>
    <row r="19" spans="3:17" x14ac:dyDescent="0.3">
      <c r="P19">
        <f t="shared" si="2"/>
        <v>0</v>
      </c>
      <c r="Q19">
        <f t="shared" si="3"/>
        <v>0</v>
      </c>
    </row>
    <row r="20" spans="3:17" x14ac:dyDescent="0.3">
      <c r="P20">
        <f t="shared" si="2"/>
        <v>0</v>
      </c>
      <c r="Q20">
        <f t="shared" si="3"/>
        <v>0</v>
      </c>
    </row>
    <row r="21" spans="3:17" x14ac:dyDescent="0.3">
      <c r="P21">
        <f t="shared" si="2"/>
        <v>0</v>
      </c>
      <c r="Q21">
        <f t="shared" si="3"/>
        <v>0</v>
      </c>
    </row>
    <row r="22" spans="3:17" x14ac:dyDescent="0.3">
      <c r="P22">
        <f t="shared" si="2"/>
        <v>0</v>
      </c>
      <c r="Q22">
        <f t="shared" si="3"/>
        <v>0</v>
      </c>
    </row>
    <row r="23" spans="3:17" x14ac:dyDescent="0.3">
      <c r="P23">
        <f t="shared" si="2"/>
        <v>0</v>
      </c>
      <c r="Q23">
        <f t="shared" si="3"/>
        <v>0</v>
      </c>
    </row>
    <row r="24" spans="3:17" x14ac:dyDescent="0.3">
      <c r="D24" s="20"/>
      <c r="E24" s="20"/>
      <c r="P24">
        <f t="shared" si="2"/>
        <v>0</v>
      </c>
      <c r="Q24">
        <f t="shared" si="3"/>
        <v>0</v>
      </c>
    </row>
    <row r="25" spans="3:17" x14ac:dyDescent="0.3">
      <c r="C25" s="20"/>
      <c r="E25" s="20"/>
      <c r="M25" s="20"/>
      <c r="N25" s="20"/>
      <c r="P25">
        <f t="shared" si="2"/>
        <v>0</v>
      </c>
      <c r="Q25">
        <f t="shared" si="3"/>
        <v>0</v>
      </c>
    </row>
    <row r="26" spans="3:17" x14ac:dyDescent="0.3">
      <c r="C26" s="20"/>
      <c r="E26" s="20"/>
      <c r="P26">
        <f t="shared" si="2"/>
        <v>0</v>
      </c>
      <c r="Q26">
        <f t="shared" si="3"/>
        <v>0</v>
      </c>
    </row>
    <row r="27" spans="3:17" x14ac:dyDescent="0.3">
      <c r="E27" s="20"/>
      <c r="P27">
        <f t="shared" ref="P27:P58" si="4">IF(O27="Bought",-K27,K27)</f>
        <v>0</v>
      </c>
      <c r="Q27">
        <f t="shared" ref="Q27:Q58" si="5">IF(N27="Euro",(IF(AND(N27="EURO",O27="Bought"),-J27,J27)),0)</f>
        <v>0</v>
      </c>
    </row>
    <row r="28" spans="3:17" x14ac:dyDescent="0.3">
      <c r="E28" s="20"/>
      <c r="P28">
        <f t="shared" si="4"/>
        <v>0</v>
      </c>
      <c r="Q28">
        <f t="shared" si="5"/>
        <v>0</v>
      </c>
    </row>
    <row r="29" spans="3:17" x14ac:dyDescent="0.3">
      <c r="E29" s="20"/>
      <c r="P29">
        <f t="shared" si="4"/>
        <v>0</v>
      </c>
      <c r="Q29">
        <f t="shared" si="5"/>
        <v>0</v>
      </c>
    </row>
    <row r="30" spans="3:17" x14ac:dyDescent="0.3">
      <c r="D30" s="20"/>
      <c r="E30" s="20"/>
      <c r="P30">
        <f t="shared" si="4"/>
        <v>0</v>
      </c>
      <c r="Q30">
        <f t="shared" si="5"/>
        <v>0</v>
      </c>
    </row>
    <row r="31" spans="3:17" x14ac:dyDescent="0.3">
      <c r="D31" s="20"/>
      <c r="E31" s="20"/>
      <c r="P31">
        <f t="shared" si="4"/>
        <v>0</v>
      </c>
      <c r="Q31">
        <f t="shared" si="5"/>
        <v>0</v>
      </c>
    </row>
    <row r="32" spans="3:17" x14ac:dyDescent="0.3">
      <c r="C32" s="20"/>
      <c r="E32" s="20"/>
      <c r="M32" s="20"/>
      <c r="N32" s="20"/>
      <c r="P32">
        <f t="shared" si="4"/>
        <v>0</v>
      </c>
      <c r="Q32">
        <f t="shared" si="5"/>
        <v>0</v>
      </c>
    </row>
    <row r="33" spans="3:17" x14ac:dyDescent="0.3">
      <c r="C33" s="20"/>
      <c r="E33" s="20"/>
      <c r="P33">
        <f t="shared" si="4"/>
        <v>0</v>
      </c>
      <c r="Q33">
        <f t="shared" si="5"/>
        <v>0</v>
      </c>
    </row>
    <row r="34" spans="3:17" x14ac:dyDescent="0.3">
      <c r="E34" s="20"/>
      <c r="P34">
        <f t="shared" si="4"/>
        <v>0</v>
      </c>
      <c r="Q34">
        <f t="shared" si="5"/>
        <v>0</v>
      </c>
    </row>
    <row r="35" spans="3:17" x14ac:dyDescent="0.3">
      <c r="D35" s="20"/>
      <c r="E35" s="20"/>
      <c r="P35">
        <f t="shared" si="4"/>
        <v>0</v>
      </c>
      <c r="Q35">
        <f t="shared" si="5"/>
        <v>0</v>
      </c>
    </row>
    <row r="36" spans="3:17" x14ac:dyDescent="0.3">
      <c r="C36" s="20"/>
      <c r="E36" s="20"/>
      <c r="P36">
        <f t="shared" si="4"/>
        <v>0</v>
      </c>
      <c r="Q36">
        <f t="shared" si="5"/>
        <v>0</v>
      </c>
    </row>
    <row r="37" spans="3:17" x14ac:dyDescent="0.3">
      <c r="P37">
        <f t="shared" si="4"/>
        <v>0</v>
      </c>
      <c r="Q37">
        <f t="shared" si="5"/>
        <v>0</v>
      </c>
    </row>
    <row r="38" spans="3:17" x14ac:dyDescent="0.3">
      <c r="P38">
        <f t="shared" si="4"/>
        <v>0</v>
      </c>
      <c r="Q38">
        <f t="shared" si="5"/>
        <v>0</v>
      </c>
    </row>
    <row r="39" spans="3:17" x14ac:dyDescent="0.3">
      <c r="P39">
        <f t="shared" si="4"/>
        <v>0</v>
      </c>
      <c r="Q39">
        <f t="shared" si="5"/>
        <v>0</v>
      </c>
    </row>
    <row r="40" spans="3:17" x14ac:dyDescent="0.3">
      <c r="P40">
        <f t="shared" si="4"/>
        <v>0</v>
      </c>
      <c r="Q40">
        <f t="shared" si="5"/>
        <v>0</v>
      </c>
    </row>
    <row r="41" spans="3:17" x14ac:dyDescent="0.3">
      <c r="P41">
        <f t="shared" si="4"/>
        <v>0</v>
      </c>
      <c r="Q41">
        <f t="shared" si="5"/>
        <v>0</v>
      </c>
    </row>
    <row r="42" spans="3:17" x14ac:dyDescent="0.3">
      <c r="P42">
        <f t="shared" si="4"/>
        <v>0</v>
      </c>
      <c r="Q42">
        <f t="shared" si="5"/>
        <v>0</v>
      </c>
    </row>
    <row r="43" spans="3:17" x14ac:dyDescent="0.3">
      <c r="P43">
        <f t="shared" si="4"/>
        <v>0</v>
      </c>
      <c r="Q43">
        <f t="shared" si="5"/>
        <v>0</v>
      </c>
    </row>
    <row r="44" spans="3:17" x14ac:dyDescent="0.3">
      <c r="P44">
        <f t="shared" si="4"/>
        <v>0</v>
      </c>
      <c r="Q44">
        <f t="shared" si="5"/>
        <v>0</v>
      </c>
    </row>
    <row r="45" spans="3:17" x14ac:dyDescent="0.3">
      <c r="P45">
        <f t="shared" si="4"/>
        <v>0</v>
      </c>
      <c r="Q45">
        <f t="shared" si="5"/>
        <v>0</v>
      </c>
    </row>
    <row r="46" spans="3:17" x14ac:dyDescent="0.3">
      <c r="P46">
        <f t="shared" si="4"/>
        <v>0</v>
      </c>
      <c r="Q46">
        <f t="shared" si="5"/>
        <v>0</v>
      </c>
    </row>
    <row r="47" spans="3:17" x14ac:dyDescent="0.3">
      <c r="P47">
        <f t="shared" si="4"/>
        <v>0</v>
      </c>
      <c r="Q47">
        <f t="shared" si="5"/>
        <v>0</v>
      </c>
    </row>
    <row r="48" spans="3:17" x14ac:dyDescent="0.3">
      <c r="P48">
        <f t="shared" si="4"/>
        <v>0</v>
      </c>
      <c r="Q48">
        <f t="shared" si="5"/>
        <v>0</v>
      </c>
    </row>
    <row r="49" spans="16:17" x14ac:dyDescent="0.3">
      <c r="P49">
        <f t="shared" si="4"/>
        <v>0</v>
      </c>
      <c r="Q49">
        <f t="shared" si="5"/>
        <v>0</v>
      </c>
    </row>
    <row r="50" spans="16:17" x14ac:dyDescent="0.3">
      <c r="P50">
        <f t="shared" si="4"/>
        <v>0</v>
      </c>
      <c r="Q50">
        <f t="shared" si="5"/>
        <v>0</v>
      </c>
    </row>
    <row r="51" spans="16:17" x14ac:dyDescent="0.3">
      <c r="P51">
        <f t="shared" si="4"/>
        <v>0</v>
      </c>
      <c r="Q51">
        <f t="shared" si="5"/>
        <v>0</v>
      </c>
    </row>
    <row r="52" spans="16:17" x14ac:dyDescent="0.3">
      <c r="P52">
        <f t="shared" si="4"/>
        <v>0</v>
      </c>
      <c r="Q52">
        <f t="shared" si="5"/>
        <v>0</v>
      </c>
    </row>
    <row r="53" spans="16:17" x14ac:dyDescent="0.3">
      <c r="P53">
        <f t="shared" si="4"/>
        <v>0</v>
      </c>
      <c r="Q53">
        <f t="shared" si="5"/>
        <v>0</v>
      </c>
    </row>
    <row r="54" spans="16:17" x14ac:dyDescent="0.3">
      <c r="P54">
        <f t="shared" si="4"/>
        <v>0</v>
      </c>
      <c r="Q54">
        <f t="shared" si="5"/>
        <v>0</v>
      </c>
    </row>
    <row r="55" spans="16:17" x14ac:dyDescent="0.3">
      <c r="P55">
        <f t="shared" si="4"/>
        <v>0</v>
      </c>
      <c r="Q55">
        <f t="shared" si="5"/>
        <v>0</v>
      </c>
    </row>
    <row r="56" spans="16:17" x14ac:dyDescent="0.3">
      <c r="P56">
        <f t="shared" si="4"/>
        <v>0</v>
      </c>
      <c r="Q56">
        <f t="shared" si="5"/>
        <v>0</v>
      </c>
    </row>
    <row r="57" spans="16:17" x14ac:dyDescent="0.3">
      <c r="P57">
        <f t="shared" si="4"/>
        <v>0</v>
      </c>
      <c r="Q57">
        <f t="shared" si="5"/>
        <v>0</v>
      </c>
    </row>
    <row r="58" spans="16:17" x14ac:dyDescent="0.3">
      <c r="P58">
        <f t="shared" si="4"/>
        <v>0</v>
      </c>
      <c r="Q58">
        <f t="shared" si="5"/>
        <v>0</v>
      </c>
    </row>
  </sheetData>
  <autoFilter ref="A1:AA1" xr:uid="{BF01DC48-F479-4579-898B-C21EE4D7B337}"/>
  <hyperlinks>
    <hyperlink ref="X1" r:id="rId1" display="https://www.ecb.europa.eu/stats/policy_and_exchange_rates/euro_reference_exchange_rates/html/eurofxref-graph-usd.en.html" xr:uid="{1D3EFCC8-E459-454F-8A9D-8517EAC17B7B}"/>
    <hyperlink ref="Y1" r:id="rId2" display="https://www.ecb.europa.eu/stats/policy_and_exchange_rates/euro_reference_exchange_rates/html/eurofxref-graph-gbp.en.html" xr:uid="{7FD5EB64-A6A2-46E1-A92F-970008DF62FC}"/>
    <hyperlink ref="AA1" r:id="rId3" xr:uid="{14FA0684-84D1-44A1-A986-A1EC55F966A8}"/>
    <hyperlink ref="C11" r:id="rId4" display="https://finance.yahoo.com/quote/WDH1.HA" xr:uid="{18ED0ED4-8FCE-46DA-B61A-C76287EF4881}"/>
    <hyperlink ref="C9" r:id="rId5" display="https://finance.yahoo.com/quote/PRY.MI" xr:uid="{99F01E56-F61D-4421-A326-C80E7889423F}"/>
  </hyperlinks>
  <pageMargins left="0.7" right="0.7" top="0.75" bottom="0.75" header="0.3" footer="0.3"/>
  <pageSetup paperSize="9" orientation="portrait" r:id="rId6"/>
  <customProperties>
    <customPr name="QAA_DRILLPATH_NODE_ID" r:id="rId7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B36C6-4A47-4E81-8B15-25CD3446FD0A}">
  <sheetPr codeName="Sheet2"/>
  <dimension ref="A1:S45"/>
  <sheetViews>
    <sheetView workbookViewId="0">
      <pane ySplit="1" topLeftCell="A2" activePane="bottomLeft" state="frozen"/>
      <selection pane="bottomLeft" activeCell="S5" sqref="S5"/>
    </sheetView>
  </sheetViews>
  <sheetFormatPr defaultRowHeight="14.4" x14ac:dyDescent="0.3"/>
  <cols>
    <col min="1" max="1" width="10.33203125" bestFit="1" customWidth="1"/>
    <col min="6" max="6" width="22.6640625" customWidth="1"/>
    <col min="7" max="7" width="16.77734375" customWidth="1"/>
    <col min="12" max="12" width="13.21875" customWidth="1"/>
    <col min="13" max="13" width="13.6640625" customWidth="1"/>
  </cols>
  <sheetData>
    <row r="1" spans="1:19" x14ac:dyDescent="0.3">
      <c r="A1" s="4" t="s">
        <v>0</v>
      </c>
      <c r="B1" s="4" t="s">
        <v>25</v>
      </c>
      <c r="C1" s="4" t="s">
        <v>26</v>
      </c>
      <c r="D1" s="4" t="s">
        <v>15</v>
      </c>
      <c r="E1" s="4" t="s">
        <v>27</v>
      </c>
      <c r="F1" s="4" t="s">
        <v>28</v>
      </c>
      <c r="G1" s="4" t="s">
        <v>35</v>
      </c>
      <c r="H1" s="4" t="s">
        <v>36</v>
      </c>
      <c r="J1" s="12" t="s">
        <v>67</v>
      </c>
      <c r="K1" s="12"/>
      <c r="L1" s="12"/>
      <c r="M1" s="12"/>
      <c r="O1" s="12" t="s">
        <v>68</v>
      </c>
      <c r="P1" s="12"/>
      <c r="Q1" s="12"/>
      <c r="R1" s="12"/>
    </row>
    <row r="2" spans="1:19" x14ac:dyDescent="0.3">
      <c r="A2" t="s">
        <v>80</v>
      </c>
      <c r="B2">
        <v>50.41</v>
      </c>
      <c r="D2" t="s">
        <v>30</v>
      </c>
    </row>
    <row r="3" spans="1:19" x14ac:dyDescent="0.3">
      <c r="A3" t="s">
        <v>81</v>
      </c>
      <c r="B3" s="19">
        <v>119.87</v>
      </c>
      <c r="D3" t="s">
        <v>30</v>
      </c>
      <c r="J3" s="4" t="s">
        <v>15</v>
      </c>
      <c r="K3" s="4" t="s">
        <v>43</v>
      </c>
      <c r="L3" t="s">
        <v>31</v>
      </c>
      <c r="M3" t="s">
        <v>44</v>
      </c>
      <c r="O3" t="s">
        <v>61</v>
      </c>
      <c r="P3" t="s">
        <v>62</v>
      </c>
      <c r="Q3" t="s">
        <v>63</v>
      </c>
      <c r="R3" t="s">
        <v>64</v>
      </c>
      <c r="S3" t="s">
        <v>65</v>
      </c>
    </row>
    <row r="4" spans="1:19" x14ac:dyDescent="0.3">
      <c r="A4" t="s">
        <v>77</v>
      </c>
      <c r="B4" s="18">
        <v>252.5</v>
      </c>
      <c r="D4" t="s">
        <v>30</v>
      </c>
      <c r="J4" t="s">
        <v>30</v>
      </c>
      <c r="K4" s="9">
        <f>SUMIF(D:D,J4,B:B)</f>
        <v>1922.78</v>
      </c>
      <c r="L4" s="9"/>
      <c r="M4" s="9">
        <f>K4</f>
        <v>1922.78</v>
      </c>
      <c r="O4" t="s">
        <v>14</v>
      </c>
      <c r="P4" s="9">
        <f>K4</f>
        <v>1922.78</v>
      </c>
      <c r="Q4">
        <f>SUMIF(Transactions!N:N,'Introduced Capital'!O4,Transactions!Q:Q)</f>
        <v>-2246.7600000000002</v>
      </c>
      <c r="R4">
        <f>SUMIF('Income Received'!E:E,O4,'Income Received'!H:H)</f>
        <v>4.45</v>
      </c>
      <c r="S4" s="9">
        <f>SUM(P4:R4)</f>
        <v>-319.53000000000026</v>
      </c>
    </row>
    <row r="5" spans="1:19" x14ac:dyDescent="0.3">
      <c r="A5" t="s">
        <v>78</v>
      </c>
      <c r="B5">
        <v>500</v>
      </c>
      <c r="D5" t="s">
        <v>30</v>
      </c>
      <c r="J5" t="s">
        <v>13</v>
      </c>
      <c r="K5" s="9">
        <f>SUMIF(D:D,J5,E:E)</f>
        <v>0</v>
      </c>
      <c r="L5" s="9">
        <f>SUMIF(D:D,J5,B:B)</f>
        <v>0</v>
      </c>
      <c r="M5" s="9">
        <f>L5</f>
        <v>0</v>
      </c>
      <c r="O5" t="s">
        <v>13</v>
      </c>
      <c r="P5" s="9">
        <f>K5</f>
        <v>0</v>
      </c>
      <c r="Q5">
        <f>SUMIF(Transactions!N:N,'Introduced Capital'!O5,Transactions!P:P)</f>
        <v>71.489999999999981</v>
      </c>
      <c r="R5">
        <f>SUMIF('Income Received'!E:E,O5,'Income Received'!F:F)</f>
        <v>11.700000000000003</v>
      </c>
      <c r="S5" s="9">
        <f>P5+Q5+R5</f>
        <v>83.189999999999984</v>
      </c>
    </row>
    <row r="6" spans="1:19" x14ac:dyDescent="0.3">
      <c r="A6" s="1">
        <v>46057</v>
      </c>
      <c r="B6" s="18">
        <v>500</v>
      </c>
      <c r="D6" t="s">
        <v>30</v>
      </c>
      <c r="J6" t="s">
        <v>29</v>
      </c>
      <c r="K6" s="9">
        <f>SUMIF(D:D,J6,E:E)</f>
        <v>0</v>
      </c>
      <c r="L6" s="9">
        <f>SUMIF(D:D,J6,B:B)</f>
        <v>0</v>
      </c>
      <c r="M6" s="9">
        <f>L6</f>
        <v>0</v>
      </c>
      <c r="O6" t="s">
        <v>29</v>
      </c>
      <c r="P6" s="9">
        <f>K6</f>
        <v>0</v>
      </c>
      <c r="Q6">
        <f>SUMIF(Transactions!N:N,'Introduced Capital'!O6,Transactions!P:P)</f>
        <v>0</v>
      </c>
      <c r="R6">
        <f>SUMIF('Income Received'!E:E,O6,'Income Received'!F:F)</f>
        <v>1.7999999999999998</v>
      </c>
      <c r="S6" s="9">
        <f>P6+Q6+R6</f>
        <v>1.7999999999999998</v>
      </c>
    </row>
    <row r="7" spans="1:19" x14ac:dyDescent="0.3">
      <c r="A7" t="s">
        <v>82</v>
      </c>
      <c r="B7" s="20">
        <v>500</v>
      </c>
      <c r="D7" t="s">
        <v>30</v>
      </c>
      <c r="M7" s="9">
        <f>SUM(L12:L16)</f>
        <v>0</v>
      </c>
    </row>
    <row r="8" spans="1:19" x14ac:dyDescent="0.3">
      <c r="A8" t="s">
        <v>84</v>
      </c>
      <c r="B8" s="20">
        <v>297.32</v>
      </c>
      <c r="M8" s="9"/>
    </row>
    <row r="9" spans="1:19" x14ac:dyDescent="0.3">
      <c r="A9" s="1"/>
      <c r="M9" s="9"/>
    </row>
    <row r="10" spans="1:19" x14ac:dyDescent="0.3">
      <c r="A10" s="1"/>
      <c r="M10" s="9"/>
    </row>
    <row r="11" spans="1:19" ht="15" thickBot="1" x14ac:dyDescent="0.35">
      <c r="A11" s="1"/>
      <c r="C11" s="3"/>
      <c r="J11" s="8" t="s">
        <v>48</v>
      </c>
      <c r="M11" s="10">
        <f>SUM(M4:M7)</f>
        <v>1922.78</v>
      </c>
    </row>
    <row r="12" spans="1:19" ht="15" thickTop="1" x14ac:dyDescent="0.3">
      <c r="A12" s="1"/>
    </row>
    <row r="13" spans="1:19" x14ac:dyDescent="0.3">
      <c r="A13" s="1"/>
    </row>
    <row r="14" spans="1:19" x14ac:dyDescent="0.3">
      <c r="A14" s="1"/>
    </row>
    <row r="15" spans="1:19" x14ac:dyDescent="0.3">
      <c r="A15" s="1"/>
    </row>
    <row r="16" spans="1:19" x14ac:dyDescent="0.3">
      <c r="A16" s="1"/>
    </row>
    <row r="17" spans="1:13" x14ac:dyDescent="0.3">
      <c r="A17" s="1"/>
    </row>
    <row r="18" spans="1:13" x14ac:dyDescent="0.3">
      <c r="A18" s="1"/>
    </row>
    <row r="19" spans="1:13" x14ac:dyDescent="0.3">
      <c r="A19" s="1"/>
    </row>
    <row r="20" spans="1:13" x14ac:dyDescent="0.3">
      <c r="A20" s="1"/>
    </row>
    <row r="21" spans="1:13" x14ac:dyDescent="0.3">
      <c r="A21" s="1"/>
    </row>
    <row r="22" spans="1:13" x14ac:dyDescent="0.3">
      <c r="A22" s="1"/>
    </row>
    <row r="23" spans="1:13" x14ac:dyDescent="0.3">
      <c r="A23" s="1"/>
    </row>
    <row r="24" spans="1:13" x14ac:dyDescent="0.3">
      <c r="A24" s="1"/>
    </row>
    <row r="25" spans="1:13" x14ac:dyDescent="0.3">
      <c r="A25" s="1"/>
      <c r="G25" t="s">
        <v>84</v>
      </c>
      <c r="H25" t="s">
        <v>85</v>
      </c>
      <c r="J25" s="20">
        <v>202.68</v>
      </c>
      <c r="K25" s="20">
        <v>202.68</v>
      </c>
      <c r="L25">
        <v>1.1402000000000001</v>
      </c>
      <c r="M25" t="s">
        <v>86</v>
      </c>
    </row>
    <row r="26" spans="1:13" x14ac:dyDescent="0.3">
      <c r="A26" s="1"/>
    </row>
    <row r="27" spans="1:13" x14ac:dyDescent="0.3">
      <c r="A27" s="1"/>
    </row>
    <row r="28" spans="1:13" x14ac:dyDescent="0.3">
      <c r="A28" s="1"/>
    </row>
    <row r="29" spans="1:13" x14ac:dyDescent="0.3">
      <c r="A29" s="1"/>
    </row>
    <row r="30" spans="1:13" x14ac:dyDescent="0.3">
      <c r="A30" s="1"/>
    </row>
    <row r="31" spans="1:13" x14ac:dyDescent="0.3">
      <c r="A31" s="1"/>
    </row>
    <row r="32" spans="1:13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  <row r="43" spans="1:1" x14ac:dyDescent="0.3">
      <c r="A43" s="1"/>
    </row>
    <row r="44" spans="1:1" x14ac:dyDescent="0.3">
      <c r="A44" s="1"/>
    </row>
    <row r="45" spans="1:1" x14ac:dyDescent="0.3">
      <c r="A45" s="1"/>
    </row>
  </sheetData>
  <mergeCells count="2">
    <mergeCell ref="J1:M1"/>
    <mergeCell ref="O1:R1"/>
  </mergeCells>
  <pageMargins left="0.7" right="0.7" top="0.75" bottom="0.75" header="0.3" footer="0.3"/>
  <customProperties>
    <customPr name="QAA_DRILLPATH_NODE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9A77C-4F36-40A3-8F5F-AD4E886E82FF}">
  <sheetPr codeName="Sheet3"/>
  <dimension ref="A1:K6"/>
  <sheetViews>
    <sheetView workbookViewId="0">
      <selection activeCell="A7" sqref="A7"/>
    </sheetView>
  </sheetViews>
  <sheetFormatPr defaultRowHeight="14.4" x14ac:dyDescent="0.3"/>
  <cols>
    <col min="1" max="1" width="10.33203125" bestFit="1" customWidth="1"/>
    <col min="2" max="2" width="14.21875" customWidth="1"/>
    <col min="3" max="3" width="10.33203125" customWidth="1"/>
    <col min="4" max="4" width="15.77734375" customWidth="1"/>
    <col min="5" max="5" width="11.109375" customWidth="1"/>
    <col min="6" max="6" width="11.44140625" customWidth="1"/>
    <col min="11" max="11" width="27.33203125" customWidth="1"/>
  </cols>
  <sheetData>
    <row r="1" spans="1:11" x14ac:dyDescent="0.3">
      <c r="A1" s="13" t="s">
        <v>60</v>
      </c>
      <c r="B1" s="13"/>
      <c r="C1" s="13"/>
      <c r="D1" s="13"/>
      <c r="E1" s="13"/>
      <c r="F1" s="13"/>
      <c r="G1" s="13"/>
      <c r="H1" s="13"/>
      <c r="I1" s="13"/>
      <c r="J1" s="13"/>
      <c r="K1" s="13"/>
    </row>
    <row r="2" spans="1:11" x14ac:dyDescent="0.3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</row>
    <row r="3" spans="1:11" x14ac:dyDescent="0.3">
      <c r="A3" s="11" t="s">
        <v>0</v>
      </c>
      <c r="B3" s="11" t="s">
        <v>56</v>
      </c>
      <c r="C3" s="11" t="s">
        <v>55</v>
      </c>
      <c r="D3" s="11" t="s">
        <v>8</v>
      </c>
      <c r="E3" s="11" t="s">
        <v>49</v>
      </c>
      <c r="F3" s="11" t="s">
        <v>50</v>
      </c>
      <c r="G3" s="11" t="s">
        <v>51</v>
      </c>
      <c r="H3" s="11" t="s">
        <v>25</v>
      </c>
      <c r="I3" s="11"/>
      <c r="J3" s="11" t="s">
        <v>9</v>
      </c>
      <c r="K3" s="11" t="s">
        <v>57</v>
      </c>
    </row>
    <row r="4" spans="1:11" x14ac:dyDescent="0.3">
      <c r="A4" s="1">
        <v>46059</v>
      </c>
      <c r="B4" t="s">
        <v>38</v>
      </c>
      <c r="C4" t="s">
        <v>37</v>
      </c>
      <c r="D4" t="s">
        <v>52</v>
      </c>
      <c r="E4" t="s">
        <v>25</v>
      </c>
      <c r="H4">
        <v>4.45</v>
      </c>
      <c r="J4" t="s">
        <v>54</v>
      </c>
      <c r="K4" t="s">
        <v>58</v>
      </c>
    </row>
    <row r="5" spans="1:11" x14ac:dyDescent="0.3">
      <c r="A5" s="1">
        <v>46112</v>
      </c>
      <c r="B5" s="1" t="s">
        <v>54</v>
      </c>
      <c r="C5" s="1"/>
      <c r="D5" t="s">
        <v>53</v>
      </c>
      <c r="E5" t="s">
        <v>13</v>
      </c>
      <c r="F5">
        <f>17.2904-5.5904</f>
        <v>11.700000000000003</v>
      </c>
      <c r="G5">
        <f>F5/H5</f>
        <v>1.1669309715448373</v>
      </c>
      <c r="H5">
        <f>14.8183-4.792</f>
        <v>10.026300000000001</v>
      </c>
      <c r="J5" t="s">
        <v>54</v>
      </c>
      <c r="K5" t="s">
        <v>59</v>
      </c>
    </row>
    <row r="6" spans="1:11" x14ac:dyDescent="0.3">
      <c r="A6" s="1">
        <v>46112</v>
      </c>
      <c r="B6" s="1" t="s">
        <v>54</v>
      </c>
      <c r="C6" s="1"/>
      <c r="D6" t="s">
        <v>53</v>
      </c>
      <c r="E6" t="s">
        <v>29</v>
      </c>
      <c r="F6">
        <f>2.4179-0.6179</f>
        <v>1.7999999999999998</v>
      </c>
      <c r="G6">
        <f>F6/H6</f>
        <v>0.86650941125499437</v>
      </c>
      <c r="H6">
        <f>2.7893-0.712</f>
        <v>2.0773000000000001</v>
      </c>
      <c r="J6" t="s">
        <v>54</v>
      </c>
      <c r="K6" t="s">
        <v>59</v>
      </c>
    </row>
  </sheetData>
  <mergeCells count="1">
    <mergeCell ref="A1:K2"/>
  </mergeCells>
  <pageMargins left="0.7" right="0.7" top="0.75" bottom="0.75" header="0.3" footer="0.3"/>
  <customProperties>
    <customPr name="QAA_DRILLPATH_NODE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WorkbookDrillPathInfo xmlns:xsd="http://www.w3.org/2001/XMLSchema" xmlns:xsi="http://www.w3.org/2001/XMLSchema-instance" xmlns="http://www.infor.com/qaa/DrillPath">
  <CurrentDrillPath>
    <DrillPathNode AnalysisType="NONE" Id="0cab7834-c2a2-497e-8b20-4380c0499ae5" Name="Transactions" HandleSummaryReportOnly="false" Source="">
      <SuppressZero>false</SuppressZero>
      <Children/>
    </DrillPathNode>
    <DrillPathNode AnalysisType="NONE" Id="4b15d721-017f-41ff-a78c-686fcf07a05a" Name="Introduced Capital" HandleSummaryReportOnly="false" Source="">
      <SuppressZero>false</SuppressZero>
      <Children/>
    </DrillPathNode>
    <DrillPathNode AnalysisType="NONE" Id="4c6486de-e1db-478d-80cf-0dc32579e066" Name="Income Received" HandleSummaryReportOnly="false" Source="">
      <SuppressZero>false</SuppressZero>
      <Children/>
    </DrillPathNode>
  </CurrentDrillPath>
  <SavedDrillPath/>
</WorkbookDrillPathInfo>
</file>

<file path=customXml/itemProps1.xml><?xml version="1.0" encoding="utf-8"?>
<ds:datastoreItem xmlns:ds="http://schemas.openxmlformats.org/officeDocument/2006/customXml" ds:itemID="{4517BE73-17D9-4421-87A8-E19F5756707D}">
  <ds:schemaRefs>
    <ds:schemaRef ds:uri="http://www.w3.org/2001/XMLSchema"/>
    <ds:schemaRef ds:uri="http://www.infor.com/qaa/DrillPath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Transactions</vt:lpstr>
      <vt:lpstr>Introduced Capital</vt:lpstr>
      <vt:lpstr>Income Received</vt:lpstr>
    </vt:vector>
  </TitlesOfParts>
  <Company>Computime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Jean-Paul Galea</dc:creator>
  <cp:lastModifiedBy>Jean-Paul Galea</cp:lastModifiedBy>
  <dcterms:created xsi:type="dcterms:W3CDTF">2025-09-09T15:38:53Z</dcterms:created>
  <dcterms:modified xsi:type="dcterms:W3CDTF">2026-04-09T15:18:08Z</dcterms:modified>
</cp:coreProperties>
</file>