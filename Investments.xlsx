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ctimemt-my.sharepoint.com/personal/jpgalea_computime_com_mt/Documents/Documents/JP folder/Investments/"/>
    </mc:Choice>
  </mc:AlternateContent>
  <xr:revisionPtr revIDLastSave="1706" documentId="8_{9F5F17A8-EDA2-4F18-BFD5-E7A38FF101F6}" xr6:coauthVersionLast="47" xr6:coauthVersionMax="47" xr10:uidLastSave="{A0162411-11EE-4C7D-B689-456BB82F1355}"/>
  <bookViews>
    <workbookView xWindow="-108" yWindow="-108" windowWidth="23256" windowHeight="12456" xr2:uid="{63AD4105-E52D-46FC-BCFA-6F1752685CAC}"/>
  </bookViews>
  <sheets>
    <sheet name="Transactions" sheetId="3" r:id="rId1"/>
    <sheet name="Introduced Capital" sheetId="5" r:id="rId2"/>
  </sheets>
  <definedNames>
    <definedName name="_xlnm._FilterDatabase" localSheetId="0" hidden="1">Transactions!$A$1:$M$107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7" i="3" l="1"/>
  <c r="J107" i="3"/>
  <c r="H107" i="3"/>
  <c r="J95" i="3"/>
  <c r="J94" i="3"/>
  <c r="H95" i="3"/>
  <c r="H94" i="3"/>
  <c r="L95" i="3"/>
  <c r="L94" i="3"/>
  <c r="B42" i="5"/>
  <c r="J90" i="3"/>
  <c r="H90" i="3" s="1"/>
  <c r="J89" i="3"/>
  <c r="H89" i="3"/>
  <c r="L91" i="3"/>
  <c r="H91" i="3"/>
  <c r="J91" i="3"/>
  <c r="H82" i="3"/>
  <c r="J88" i="3"/>
  <c r="H88" i="3"/>
  <c r="H87" i="3"/>
  <c r="J87" i="3"/>
  <c r="J84" i="3"/>
  <c r="H84" i="3"/>
  <c r="L84" i="3"/>
  <c r="J83" i="3"/>
  <c r="H83" i="3"/>
  <c r="L83" i="3"/>
  <c r="D83" i="3"/>
  <c r="J82" i="3"/>
  <c r="L82" i="3"/>
  <c r="D82" i="3"/>
  <c r="J81" i="3" l="1"/>
  <c r="H80" i="3"/>
  <c r="J80" i="3"/>
  <c r="L80" i="3"/>
  <c r="L79" i="3"/>
  <c r="J79" i="3"/>
  <c r="H79" i="3"/>
  <c r="H78" i="3" l="1"/>
  <c r="J78" i="3"/>
  <c r="L78" i="3"/>
  <c r="L77" i="3"/>
  <c r="I77" i="3"/>
  <c r="H77" i="3" s="1"/>
  <c r="J77" i="3"/>
  <c r="H76" i="3"/>
  <c r="H75" i="3"/>
  <c r="H71" i="3"/>
  <c r="J71" i="3"/>
  <c r="L71" i="3"/>
  <c r="L74" i="3"/>
  <c r="J74" i="3"/>
  <c r="H74" i="3"/>
  <c r="J73" i="3"/>
  <c r="H73" i="3"/>
  <c r="L73" i="3"/>
  <c r="H70" i="3"/>
  <c r="H68" i="3"/>
  <c r="J68" i="3"/>
  <c r="I54" i="3"/>
  <c r="L54" i="3"/>
  <c r="J54" i="3"/>
  <c r="H54" i="3" s="1"/>
  <c r="J49" i="3"/>
  <c r="H49" i="3" s="1"/>
  <c r="D64" i="3"/>
  <c r="H64" i="3" s="1"/>
  <c r="I63" i="3"/>
  <c r="H63" i="3" s="1"/>
  <c r="J63" i="3"/>
  <c r="H62" i="3"/>
  <c r="J62" i="3"/>
  <c r="D61" i="3"/>
  <c r="J61" i="3"/>
  <c r="H61" i="3"/>
  <c r="H58" i="3"/>
  <c r="J58" i="3"/>
  <c r="H57" i="3"/>
  <c r="J57" i="3"/>
  <c r="C36" i="5"/>
  <c r="L56" i="3"/>
  <c r="J56" i="3"/>
  <c r="H56" i="3"/>
  <c r="J55" i="3"/>
  <c r="H55" i="3"/>
  <c r="C34" i="5"/>
  <c r="B11" i="5"/>
  <c r="B7" i="5"/>
  <c r="B5" i="5"/>
  <c r="K3" i="5"/>
  <c r="K2" i="5"/>
  <c r="M2" i="5" s="1"/>
  <c r="E32" i="5"/>
  <c r="B32" i="5" s="1"/>
  <c r="L4" i="5" s="1"/>
  <c r="M4" i="5" s="1"/>
  <c r="D47" i="3"/>
  <c r="J51" i="3"/>
  <c r="I51" i="3"/>
  <c r="H51" i="3" s="1"/>
  <c r="J46" i="3"/>
  <c r="I46" i="3"/>
  <c r="H46" i="3" s="1"/>
  <c r="K44" i="3"/>
  <c r="K3" i="3"/>
  <c r="J3" i="3" s="1"/>
  <c r="H44" i="3"/>
  <c r="J41" i="3"/>
  <c r="J40" i="3"/>
  <c r="J35" i="3"/>
  <c r="J32" i="3"/>
  <c r="J31" i="3"/>
  <c r="J30" i="3"/>
  <c r="J52" i="3"/>
  <c r="H52" i="3"/>
  <c r="H48" i="3"/>
  <c r="H45" i="3"/>
  <c r="J15" i="3"/>
  <c r="H15" i="3"/>
  <c r="H3" i="3"/>
  <c r="K48" i="3"/>
  <c r="J48" i="3" s="1"/>
  <c r="K45" i="3"/>
  <c r="J45" i="3" s="1"/>
  <c r="J43" i="3"/>
  <c r="J42" i="3"/>
  <c r="J39" i="3"/>
  <c r="J38" i="3"/>
  <c r="J37" i="3"/>
  <c r="J22" i="3"/>
  <c r="D71" i="3" l="1"/>
  <c r="D84" i="3" s="1"/>
  <c r="K4" i="5"/>
  <c r="L3" i="5"/>
  <c r="M3" i="5" s="1"/>
  <c r="M5" i="5" s="1"/>
  <c r="M6" i="5" l="1"/>
</calcChain>
</file>

<file path=xl/sharedStrings.xml><?xml version="1.0" encoding="utf-8"?>
<sst xmlns="http://schemas.openxmlformats.org/spreadsheetml/2006/main" count="760" uniqueCount="117">
  <si>
    <t>Date</t>
  </si>
  <si>
    <t>Name</t>
  </si>
  <si>
    <t>Code</t>
  </si>
  <si>
    <t>Quantity</t>
  </si>
  <si>
    <t>Charges</t>
  </si>
  <si>
    <t>Bawag</t>
  </si>
  <si>
    <t>iShares Edge MSCI World Quality Factor ETF (Acc)</t>
  </si>
  <si>
    <t>Vanguard S&amp;P 500 UCITS ETF (Acc)</t>
  </si>
  <si>
    <t>Microsoft</t>
  </si>
  <si>
    <t>MSFT</t>
  </si>
  <si>
    <t>Gold</t>
  </si>
  <si>
    <t>XAU</t>
  </si>
  <si>
    <t>Xtrackers MSCI Urope ETF (Acc)</t>
  </si>
  <si>
    <t>Type</t>
  </si>
  <si>
    <t>Platform</t>
  </si>
  <si>
    <t>FX_Rate_Used</t>
  </si>
  <si>
    <t>CommonStock</t>
  </si>
  <si>
    <t>revolut</t>
  </si>
  <si>
    <t>ishares edge MSCI World Minimum Volatility ETF (Acc)</t>
  </si>
  <si>
    <t>moneybase</t>
  </si>
  <si>
    <t>DB Physical Gold ETC (EUR) GoldETF</t>
  </si>
  <si>
    <t>BNP Paribas SA</t>
  </si>
  <si>
    <t>DWS Group</t>
  </si>
  <si>
    <t>FQT</t>
  </si>
  <si>
    <t>UBS(Lux) money Market Fund -USD P-Acc (UBSMUSI)</t>
  </si>
  <si>
    <t>UBSMUSI</t>
  </si>
  <si>
    <t>0B2.F</t>
  </si>
  <si>
    <t>Booking</t>
  </si>
  <si>
    <t>BKNG</t>
  </si>
  <si>
    <t>USD</t>
  </si>
  <si>
    <t>EURO</t>
  </si>
  <si>
    <t>Currency</t>
  </si>
  <si>
    <t>Fitell</t>
  </si>
  <si>
    <t>FTEL</t>
  </si>
  <si>
    <t>VUAA.MI</t>
  </si>
  <si>
    <t>IQQ0.DE</t>
  </si>
  <si>
    <t>BNP.PA</t>
  </si>
  <si>
    <t>DWS.DE</t>
  </si>
  <si>
    <t>XAD5.MI</t>
  </si>
  <si>
    <t>XMEU.MI</t>
  </si>
  <si>
    <t>Price_Per_Share_EUR</t>
  </si>
  <si>
    <t>Bought</t>
  </si>
  <si>
    <t>Sold</t>
  </si>
  <si>
    <t>Price_Per_Share_FC</t>
  </si>
  <si>
    <t>Notes</t>
  </si>
  <si>
    <t>30% trimming</t>
  </si>
  <si>
    <t>Status</t>
  </si>
  <si>
    <t>TotalCost_EUR</t>
  </si>
  <si>
    <t>TotalCost_FC</t>
  </si>
  <si>
    <t>Frquentis AG</t>
  </si>
  <si>
    <t>IS3Q.DE</t>
  </si>
  <si>
    <t>SCOR SE</t>
  </si>
  <si>
    <t>SCR.PA</t>
  </si>
  <si>
    <t>Euro</t>
  </si>
  <si>
    <t>Rate</t>
  </si>
  <si>
    <t>For. Curr</t>
  </si>
  <si>
    <t>Note</t>
  </si>
  <si>
    <t>Excess Cash From UK Trip</t>
  </si>
  <si>
    <t>GBP</t>
  </si>
  <si>
    <t>Most probably Bought from Rev</t>
  </si>
  <si>
    <t>??</t>
  </si>
  <si>
    <t>EUR</t>
  </si>
  <si>
    <t>Purch Cost Euro</t>
  </si>
  <si>
    <t>Converted to USD</t>
  </si>
  <si>
    <t>From Euro</t>
  </si>
  <si>
    <t>INTU</t>
  </si>
  <si>
    <t>Intuit Inc.</t>
  </si>
  <si>
    <t>XYZ</t>
  </si>
  <si>
    <t>US dollar (USD)</t>
  </si>
  <si>
    <t>DTE.DE</t>
  </si>
  <si>
    <t>Deutsche Telekom AG</t>
  </si>
  <si>
    <t>UnitedHealth Group Incorporated</t>
  </si>
  <si>
    <t>UNH</t>
  </si>
  <si>
    <t>50% trimming</t>
  </si>
  <si>
    <t>ETF</t>
  </si>
  <si>
    <t>Convatec Group plc</t>
  </si>
  <si>
    <t>CTEC.L</t>
  </si>
  <si>
    <t>Pound sterling (GBP)</t>
  </si>
  <si>
    <t>PAYC</t>
  </si>
  <si>
    <t>DV</t>
  </si>
  <si>
    <t>Paycom Software</t>
  </si>
  <si>
    <t>DoubleVerify</t>
  </si>
  <si>
    <t>On ETFS</t>
  </si>
  <si>
    <t>Aggressive</t>
  </si>
  <si>
    <t>new</t>
  </si>
  <si>
    <t>Invested on:</t>
  </si>
  <si>
    <t>Cash</t>
  </si>
  <si>
    <t>TH93.F</t>
  </si>
  <si>
    <t>Embracer Group AB N</t>
  </si>
  <si>
    <t>1SXP.DE</t>
  </si>
  <si>
    <t>SCHOTT Pharma AG &amp; Co. KGaA</t>
  </si>
  <si>
    <t>% return (Investment.com)</t>
  </si>
  <si>
    <t>Target Price EURO (investment.com)</t>
  </si>
  <si>
    <t>Target Price FC(investment.com)</t>
  </si>
  <si>
    <t>Intertek Group</t>
  </si>
  <si>
    <t>ITRKL.XC</t>
  </si>
  <si>
    <t>Low</t>
  </si>
  <si>
    <t>Uncertainty</t>
  </si>
  <si>
    <t>LKQ</t>
  </si>
  <si>
    <t>Invested</t>
  </si>
  <si>
    <t>Euro Equivalent</t>
  </si>
  <si>
    <t>Repsol, S.A.</t>
  </si>
  <si>
    <t>REP.MC</t>
  </si>
  <si>
    <t>MED</t>
  </si>
  <si>
    <t>https://www.investing.com/pro/OTCPK:REPYF</t>
  </si>
  <si>
    <t>FME.DE</t>
  </si>
  <si>
    <t>Fresenius Medical Care AG</t>
  </si>
  <si>
    <t>ROP</t>
  </si>
  <si>
    <t>Roper Technologies, Inc.</t>
  </si>
  <si>
    <t>ZAL.DE</t>
  </si>
  <si>
    <t>Zalando SE</t>
  </si>
  <si>
    <t>EN.PA</t>
  </si>
  <si>
    <t>Bouygues SA</t>
  </si>
  <si>
    <t>Melia Hotels</t>
  </si>
  <si>
    <t>Evonik</t>
  </si>
  <si>
    <t>EVK.DE</t>
  </si>
  <si>
    <t>MEL.MC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</si>
</sst>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rgb="FF318712"/>
      <name val="Arial"/>
      <family val="2"/>
    </font>
    <font>
      <b/>
      <sz val="10"/>
      <color rgb="FF333333"/>
      <name val="Arial"/>
      <family val="2"/>
    </font>
    <font>
      <sz val="8"/>
      <color rgb="FF222222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0">
    <xf numFmtId="0" fontId="0" fillId="0" borderId="0" xfId="0"/>
    <xf numFmtId="14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14" fontId="0" fillId="0" borderId="0" xfId="0" applyNumberFormat="1"/>
    <xf numFmtId="22" fontId="0" fillId="0" borderId="0" xfId="0" applyNumberFormat="1"/>
    <xf numFmtId="2" fontId="0" fillId="0" borderId="0" xfId="0" applyNumberFormat="1"/>
    <xf numFmtId="0" fontId="0" fillId="2" borderId="0" xfId="0" applyFill="1"/>
    <xf numFmtId="0" fontId="0" fillId="3" borderId="0" xfId="0" applyFill="1"/>
    <xf numFmtId="0" fontId="1" fillId="4" borderId="0" xfId="0" applyFont="1" applyFill="1" applyAlignment="1">
      <alignment horizontal="center"/>
    </xf>
    <xf numFmtId="0" fontId="1" fillId="4" borderId="0" xfId="0" applyFont="1" applyFill="1"/>
    <xf numFmtId="0" fontId="2" fillId="0" borderId="0" xfId="1"/>
    <xf numFmtId="9" fontId="0" fillId="0" borderId="0" xfId="0" applyNumberFormat="1"/>
    <xf numFmtId="10" fontId="0" fillId="0" borderId="0" xfId="0" applyNumberFormat="1"/>
    <xf numFmtId="0" fontId="0" fillId="0" borderId="1" xfId="0" applyBorder="1"/>
    <xf numFmtId="0" fontId="3" fillId="0" borderId="0" xfId="0" applyFont="1"/>
    <xf numFmtId="0" fontId="4" fillId="0" borderId="0" xfId="0" applyFont="1"/>
    <xf numFmtId="10" fontId="3" fillId="0" borderId="0" xfId="0" applyNumberFormat="1" applyFont="1"/>
    <xf numFmtId="0" fontId="2" fillId="4" borderId="0" xfId="1" applyFill="1"/>
    <xf numFmtId="0" fontId="5" fillId="0" borderId="0" xfId="0" applyFont="1"/>
    <xf numFmtId="0" fontId="0" fillId="0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www.investing.com/pro/OTCPK:REPYF" TargetMode="External"/><Relationship Id="rId7" Type="http://schemas.openxmlformats.org/officeDocument/2006/relationships/hyperlink" Target="https://finance.yahoo.com/quote/MEL.MC" TargetMode="External"/><Relationship Id="rId2" Type="http://schemas.openxmlformats.org/officeDocument/2006/relationships/hyperlink" Target="https://www.ecb.europa.eu/stats/policy_and_exchange_rates/euro_reference_exchange_rates/html/eurofxref-graph-gbp.en.html" TargetMode="External"/><Relationship Id="rId1" Type="http://schemas.openxmlformats.org/officeDocument/2006/relationships/hyperlink" Target="https://www.ecb.europa.eu/stats/policy_and_exchange_rates/euro_reference_exchange_rates/html/eurofxref-graph-usd.en.html" TargetMode="External"/><Relationship Id="rId6" Type="http://schemas.openxmlformats.org/officeDocument/2006/relationships/hyperlink" Target="https://finance.yahoo.com/quote/EVK.DE" TargetMode="External"/><Relationship Id="rId5" Type="http://schemas.openxmlformats.org/officeDocument/2006/relationships/hyperlink" Target="https://finance.yahoo.com/quote/EN.PA" TargetMode="External"/><Relationship Id="rId4" Type="http://schemas.openxmlformats.org/officeDocument/2006/relationships/hyperlink" Target="https://finance.yahoo.com/quote/EN.PA" TargetMode="External"/><Relationship Id="rId9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1DC48-F479-4579-898B-C21EE4D7B337}">
  <sheetPr codeName="Sheet1"/>
  <dimension ref="A1:X107"/>
  <sheetViews>
    <sheetView tabSelected="1" zoomScale="98" zoomScaleNormal="98" workbookViewId="0">
      <pane ySplit="1" topLeftCell="A89" activePane="bottomLeft" state="frozen"/>
      <selection pane="bottomLeft" activeCell="J109" sqref="J109"/>
    </sheetView>
  </sheetViews>
  <sheetFormatPr defaultRowHeight="14.4" x14ac:dyDescent="0.3"/>
  <cols>
    <col min="1" max="1" width="17" customWidth="1"/>
    <col min="2" max="2" width="43.33203125" customWidth="1"/>
    <col min="3" max="3" width="12.77734375" customWidth="1"/>
    <col min="4" max="5" width="12" customWidth="1"/>
    <col min="6" max="6" width="14.33203125" customWidth="1"/>
    <col min="7" max="7" width="14" customWidth="1"/>
    <col min="8" max="8" width="19.109375" customWidth="1"/>
    <col min="9" max="9" width="20.88671875" customWidth="1"/>
    <col min="10" max="10" width="18" customWidth="1"/>
    <col min="11" max="11" width="15.109375" customWidth="1"/>
    <col min="16" max="17" width="16.88671875" customWidth="1"/>
    <col min="18" max="18" width="12.5546875" customWidth="1"/>
    <col min="19" max="19" width="10.5546875" bestFit="1" customWidth="1"/>
  </cols>
  <sheetData>
    <row r="1" spans="1:24" s="9" customFormat="1" x14ac:dyDescent="0.3">
      <c r="A1" s="9" t="s">
        <v>0</v>
      </c>
      <c r="B1" s="9" t="s">
        <v>1</v>
      </c>
      <c r="C1" s="9" t="s">
        <v>2</v>
      </c>
      <c r="D1" s="9" t="s">
        <v>3</v>
      </c>
      <c r="E1" s="9" t="s">
        <v>44</v>
      </c>
      <c r="F1" s="9" t="s">
        <v>13</v>
      </c>
      <c r="G1" s="9" t="s">
        <v>14</v>
      </c>
      <c r="H1" s="9" t="s">
        <v>40</v>
      </c>
      <c r="I1" s="9" t="s">
        <v>43</v>
      </c>
      <c r="J1" s="9" t="s">
        <v>47</v>
      </c>
      <c r="K1" s="9" t="s">
        <v>48</v>
      </c>
      <c r="L1" s="9" t="s">
        <v>4</v>
      </c>
      <c r="M1" s="9" t="s">
        <v>15</v>
      </c>
      <c r="N1" s="9" t="s">
        <v>31</v>
      </c>
      <c r="O1" s="9" t="s">
        <v>46</v>
      </c>
      <c r="P1" s="9" t="s">
        <v>92</v>
      </c>
      <c r="Q1" s="9" t="s">
        <v>93</v>
      </c>
      <c r="R1" s="9" t="s">
        <v>91</v>
      </c>
      <c r="T1" s="9" t="s">
        <v>97</v>
      </c>
      <c r="U1" s="10" t="s">
        <v>68</v>
      </c>
      <c r="V1" s="10" t="s">
        <v>77</v>
      </c>
      <c r="X1" s="17" t="s">
        <v>104</v>
      </c>
    </row>
    <row r="2" spans="1:24" x14ac:dyDescent="0.3">
      <c r="A2" s="4">
        <v>45560</v>
      </c>
      <c r="B2" t="s">
        <v>5</v>
      </c>
      <c r="C2" t="s">
        <v>26</v>
      </c>
      <c r="D2">
        <v>4.344678</v>
      </c>
      <c r="F2" t="s">
        <v>16</v>
      </c>
      <c r="G2" t="s">
        <v>17</v>
      </c>
      <c r="H2">
        <v>69.05</v>
      </c>
      <c r="J2">
        <v>300</v>
      </c>
      <c r="L2">
        <v>0</v>
      </c>
      <c r="N2" t="s">
        <v>30</v>
      </c>
      <c r="O2" t="s">
        <v>41</v>
      </c>
    </row>
    <row r="3" spans="1:24" x14ac:dyDescent="0.3">
      <c r="A3" s="4">
        <v>45570</v>
      </c>
      <c r="B3" t="s">
        <v>24</v>
      </c>
      <c r="C3" t="s">
        <v>25</v>
      </c>
      <c r="D3">
        <v>9.9500000000000005E-2</v>
      </c>
      <c r="F3" t="s">
        <v>16</v>
      </c>
      <c r="G3" s="2" t="s">
        <v>19</v>
      </c>
      <c r="H3">
        <f>I3/M3</f>
        <v>1814.4322324490163</v>
      </c>
      <c r="I3">
        <v>2010.7538</v>
      </c>
      <c r="J3">
        <f>K3/M3</f>
        <v>180.53600712867714</v>
      </c>
      <c r="K3">
        <f>D3*I3</f>
        <v>200.07000310000001</v>
      </c>
      <c r="L3">
        <v>0</v>
      </c>
      <c r="M3">
        <v>1.1082000000000001</v>
      </c>
      <c r="N3" t="s">
        <v>29</v>
      </c>
      <c r="O3" t="s">
        <v>41</v>
      </c>
    </row>
    <row r="4" spans="1:24" ht="12.6" customHeight="1" x14ac:dyDescent="0.3">
      <c r="A4" s="4">
        <v>45572</v>
      </c>
      <c r="B4" t="s">
        <v>5</v>
      </c>
      <c r="C4" t="s">
        <v>26</v>
      </c>
      <c r="D4">
        <v>4.4362019999999998</v>
      </c>
      <c r="F4" t="s">
        <v>16</v>
      </c>
      <c r="G4" t="s">
        <v>17</v>
      </c>
      <c r="H4">
        <v>67.400000000000006</v>
      </c>
      <c r="J4">
        <v>299</v>
      </c>
      <c r="L4">
        <v>1</v>
      </c>
      <c r="N4" t="s">
        <v>30</v>
      </c>
      <c r="O4" t="s">
        <v>41</v>
      </c>
    </row>
    <row r="5" spans="1:24" ht="12.6" customHeight="1" x14ac:dyDescent="0.3">
      <c r="A5" s="4">
        <v>45593</v>
      </c>
      <c r="B5" t="s">
        <v>5</v>
      </c>
      <c r="C5" t="s">
        <v>26</v>
      </c>
      <c r="D5">
        <v>4.7337280000000002</v>
      </c>
      <c r="F5" t="s">
        <v>16</v>
      </c>
      <c r="G5" t="s">
        <v>17</v>
      </c>
      <c r="H5">
        <v>84.5</v>
      </c>
      <c r="J5">
        <v>400</v>
      </c>
      <c r="L5">
        <v>0</v>
      </c>
      <c r="N5" t="s">
        <v>30</v>
      </c>
      <c r="O5" t="s">
        <v>41</v>
      </c>
    </row>
    <row r="6" spans="1:24" ht="12.6" customHeight="1" x14ac:dyDescent="0.3">
      <c r="A6" s="1">
        <v>45644</v>
      </c>
      <c r="B6" s="2" t="s">
        <v>6</v>
      </c>
      <c r="C6" s="2" t="s">
        <v>50</v>
      </c>
      <c r="D6" s="2">
        <v>15.518513</v>
      </c>
      <c r="E6" s="2"/>
      <c r="F6" t="s">
        <v>74</v>
      </c>
      <c r="G6" t="s">
        <v>17</v>
      </c>
      <c r="H6" s="2">
        <v>67.790000000000006</v>
      </c>
      <c r="J6" s="2">
        <v>1052</v>
      </c>
      <c r="L6" s="2">
        <v>0</v>
      </c>
      <c r="N6" t="s">
        <v>30</v>
      </c>
      <c r="O6" t="s">
        <v>41</v>
      </c>
    </row>
    <row r="7" spans="1:24" ht="12.6" customHeight="1" x14ac:dyDescent="0.3">
      <c r="A7" s="1">
        <v>45667</v>
      </c>
      <c r="B7" s="2" t="s">
        <v>6</v>
      </c>
      <c r="C7" s="2" t="s">
        <v>50</v>
      </c>
      <c r="D7" s="2">
        <v>2.9691209999999999</v>
      </c>
      <c r="E7" s="2"/>
      <c r="F7" t="s">
        <v>74</v>
      </c>
      <c r="G7" t="s">
        <v>17</v>
      </c>
      <c r="H7" s="2">
        <v>67.36</v>
      </c>
      <c r="J7" s="2">
        <v>200</v>
      </c>
      <c r="L7" s="2">
        <v>0</v>
      </c>
      <c r="N7" t="s">
        <v>30</v>
      </c>
      <c r="O7" t="s">
        <v>41</v>
      </c>
    </row>
    <row r="8" spans="1:24" ht="12.6" customHeight="1" x14ac:dyDescent="0.3">
      <c r="A8" s="1">
        <v>45667</v>
      </c>
      <c r="B8" s="2" t="s">
        <v>6</v>
      </c>
      <c r="C8" s="2" t="s">
        <v>50</v>
      </c>
      <c r="D8" s="2">
        <v>2.9586679999999999</v>
      </c>
      <c r="E8" s="2"/>
      <c r="F8" t="s">
        <v>74</v>
      </c>
      <c r="G8" t="s">
        <v>17</v>
      </c>
      <c r="H8" s="2">
        <v>67.260000000000005</v>
      </c>
      <c r="J8" s="2">
        <v>199</v>
      </c>
      <c r="L8" s="2">
        <v>1</v>
      </c>
      <c r="N8" t="s">
        <v>30</v>
      </c>
      <c r="O8" t="s">
        <v>41</v>
      </c>
    </row>
    <row r="9" spans="1:24" ht="12.6" customHeight="1" x14ac:dyDescent="0.3">
      <c r="A9" s="4">
        <v>45694</v>
      </c>
      <c r="B9" t="s">
        <v>7</v>
      </c>
      <c r="C9" t="s">
        <v>34</v>
      </c>
      <c r="D9">
        <v>4.4718790000000004</v>
      </c>
      <c r="F9" t="s">
        <v>74</v>
      </c>
      <c r="G9" t="s">
        <v>17</v>
      </c>
      <c r="H9">
        <v>111.53</v>
      </c>
      <c r="J9">
        <v>498.75</v>
      </c>
      <c r="L9">
        <v>1.25</v>
      </c>
      <c r="N9" t="s">
        <v>30</v>
      </c>
      <c r="O9" t="s">
        <v>41</v>
      </c>
    </row>
    <row r="10" spans="1:24" ht="12.6" customHeight="1" x14ac:dyDescent="0.3">
      <c r="A10" s="4">
        <v>45698</v>
      </c>
      <c r="B10" t="s">
        <v>7</v>
      </c>
      <c r="C10" t="s">
        <v>34</v>
      </c>
      <c r="D10">
        <v>3.5765509999999998</v>
      </c>
      <c r="F10" t="s">
        <v>74</v>
      </c>
      <c r="G10" t="s">
        <v>17</v>
      </c>
      <c r="H10">
        <v>111.56</v>
      </c>
      <c r="J10">
        <v>399</v>
      </c>
      <c r="L10">
        <v>1</v>
      </c>
      <c r="N10" t="s">
        <v>30</v>
      </c>
      <c r="O10" t="s">
        <v>41</v>
      </c>
    </row>
    <row r="11" spans="1:24" ht="12.6" customHeight="1" x14ac:dyDescent="0.3">
      <c r="A11" s="4">
        <v>45701</v>
      </c>
      <c r="B11" t="s">
        <v>7</v>
      </c>
      <c r="C11" t="s">
        <v>34</v>
      </c>
      <c r="D11">
        <v>2.6909519999999998</v>
      </c>
      <c r="F11" t="s">
        <v>74</v>
      </c>
      <c r="G11" t="s">
        <v>17</v>
      </c>
      <c r="H11">
        <v>111.11</v>
      </c>
      <c r="J11">
        <v>299</v>
      </c>
      <c r="L11">
        <v>1</v>
      </c>
      <c r="N11" t="s">
        <v>30</v>
      </c>
      <c r="O11" t="s">
        <v>41</v>
      </c>
    </row>
    <row r="12" spans="1:24" ht="12.6" customHeight="1" x14ac:dyDescent="0.3">
      <c r="A12" s="4">
        <v>45722</v>
      </c>
      <c r="B12" t="s">
        <v>7</v>
      </c>
      <c r="C12" t="s">
        <v>34</v>
      </c>
      <c r="D12">
        <v>9.6946189999999994</v>
      </c>
      <c r="F12" t="s">
        <v>74</v>
      </c>
      <c r="G12" t="s">
        <v>17</v>
      </c>
      <c r="H12">
        <v>103.15</v>
      </c>
      <c r="J12">
        <v>1000</v>
      </c>
      <c r="L12">
        <v>0</v>
      </c>
      <c r="N12" t="s">
        <v>30</v>
      </c>
      <c r="O12" t="s">
        <v>41</v>
      </c>
    </row>
    <row r="13" spans="1:24" ht="12.6" customHeight="1" x14ac:dyDescent="0.3">
      <c r="A13" s="4">
        <v>45750</v>
      </c>
      <c r="B13" t="s">
        <v>7</v>
      </c>
      <c r="C13" t="s">
        <v>34</v>
      </c>
      <c r="D13">
        <v>2.096482</v>
      </c>
      <c r="F13" t="s">
        <v>74</v>
      </c>
      <c r="G13" t="s">
        <v>17</v>
      </c>
      <c r="H13">
        <v>95.4</v>
      </c>
      <c r="J13">
        <v>200</v>
      </c>
      <c r="L13">
        <v>0</v>
      </c>
      <c r="N13" t="s">
        <v>30</v>
      </c>
      <c r="O13" t="s">
        <v>41</v>
      </c>
    </row>
    <row r="14" spans="1:24" ht="12.6" customHeight="1" x14ac:dyDescent="0.3">
      <c r="A14" s="4">
        <v>45757</v>
      </c>
      <c r="B14" t="s">
        <v>7</v>
      </c>
      <c r="C14" t="s">
        <v>34</v>
      </c>
      <c r="D14">
        <v>3.3640919999999999</v>
      </c>
      <c r="F14" t="s">
        <v>74</v>
      </c>
      <c r="G14" t="s">
        <v>17</v>
      </c>
      <c r="H14">
        <v>89.18</v>
      </c>
      <c r="J14">
        <v>300</v>
      </c>
      <c r="L14">
        <v>0</v>
      </c>
      <c r="N14" t="s">
        <v>30</v>
      </c>
      <c r="O14" t="s">
        <v>41</v>
      </c>
    </row>
    <row r="15" spans="1:24" ht="12.6" customHeight="1" x14ac:dyDescent="0.3">
      <c r="A15" s="4">
        <v>45757</v>
      </c>
      <c r="B15" t="s">
        <v>8</v>
      </c>
      <c r="C15" t="s">
        <v>9</v>
      </c>
      <c r="D15">
        <v>5.1083429999999996</v>
      </c>
      <c r="F15" t="s">
        <v>16</v>
      </c>
      <c r="G15" t="s">
        <v>17</v>
      </c>
      <c r="H15">
        <f>I15/M15</f>
        <v>344.81140588341452</v>
      </c>
      <c r="I15">
        <v>382.12</v>
      </c>
      <c r="J15">
        <f>K15/M15</f>
        <v>1761.4149070564879</v>
      </c>
      <c r="K15">
        <v>1952</v>
      </c>
      <c r="L15">
        <v>0</v>
      </c>
      <c r="M15">
        <v>1.1082000000000001</v>
      </c>
      <c r="N15" t="s">
        <v>29</v>
      </c>
      <c r="O15" t="s">
        <v>41</v>
      </c>
    </row>
    <row r="16" spans="1:24" ht="12.6" customHeight="1" x14ac:dyDescent="0.3">
      <c r="A16" s="4">
        <v>45776</v>
      </c>
      <c r="B16" t="s">
        <v>7</v>
      </c>
      <c r="C16" t="s">
        <v>34</v>
      </c>
      <c r="D16">
        <v>1.8865289999999999</v>
      </c>
      <c r="F16" t="s">
        <v>74</v>
      </c>
      <c r="G16" t="s">
        <v>17</v>
      </c>
      <c r="H16">
        <v>92.95</v>
      </c>
      <c r="J16">
        <v>175.36</v>
      </c>
      <c r="L16">
        <v>0</v>
      </c>
      <c r="N16" t="s">
        <v>30</v>
      </c>
      <c r="O16" t="s">
        <v>41</v>
      </c>
    </row>
    <row r="17" spans="1:15" ht="12.6" customHeight="1" x14ac:dyDescent="0.3">
      <c r="A17" s="4">
        <v>45777</v>
      </c>
      <c r="B17" t="s">
        <v>7</v>
      </c>
      <c r="C17" t="s">
        <v>34</v>
      </c>
      <c r="D17">
        <v>2.1735850000000001</v>
      </c>
      <c r="F17" t="s">
        <v>74</v>
      </c>
      <c r="G17" t="s">
        <v>17</v>
      </c>
      <c r="H17">
        <v>92.01</v>
      </c>
      <c r="J17">
        <v>200</v>
      </c>
      <c r="L17">
        <v>0</v>
      </c>
      <c r="N17" t="s">
        <v>30</v>
      </c>
      <c r="O17" t="s">
        <v>41</v>
      </c>
    </row>
    <row r="18" spans="1:15" ht="12.6" customHeight="1" x14ac:dyDescent="0.3">
      <c r="A18" s="4">
        <v>45777</v>
      </c>
      <c r="B18" t="s">
        <v>7</v>
      </c>
      <c r="C18" t="s">
        <v>34</v>
      </c>
      <c r="D18">
        <v>5.3895670000000004</v>
      </c>
      <c r="F18" t="s">
        <v>74</v>
      </c>
      <c r="G18" t="s">
        <v>17</v>
      </c>
      <c r="H18">
        <v>92.54</v>
      </c>
      <c r="J18">
        <v>498.75</v>
      </c>
      <c r="L18">
        <v>1.25</v>
      </c>
      <c r="N18" t="s">
        <v>30</v>
      </c>
      <c r="O18" t="s">
        <v>41</v>
      </c>
    </row>
    <row r="19" spans="1:15" ht="12.6" customHeight="1" x14ac:dyDescent="0.3">
      <c r="A19" s="4">
        <v>45782</v>
      </c>
      <c r="B19" t="s">
        <v>7</v>
      </c>
      <c r="C19" t="s">
        <v>34</v>
      </c>
      <c r="D19">
        <v>2.1006659999999999</v>
      </c>
      <c r="F19" t="s">
        <v>74</v>
      </c>
      <c r="G19" t="s">
        <v>17</v>
      </c>
      <c r="H19">
        <v>95.21</v>
      </c>
      <c r="J19">
        <v>200</v>
      </c>
      <c r="L19">
        <v>0</v>
      </c>
      <c r="N19" t="s">
        <v>30</v>
      </c>
      <c r="O19" t="s">
        <v>41</v>
      </c>
    </row>
    <row r="20" spans="1:15" ht="12.6" customHeight="1" x14ac:dyDescent="0.3">
      <c r="A20" s="4">
        <v>45811</v>
      </c>
      <c r="B20" t="s">
        <v>7</v>
      </c>
      <c r="C20" t="s">
        <v>34</v>
      </c>
      <c r="D20">
        <v>2.026221</v>
      </c>
      <c r="F20" t="s">
        <v>74</v>
      </c>
      <c r="G20" t="s">
        <v>17</v>
      </c>
      <c r="H20">
        <v>98.71</v>
      </c>
      <c r="J20">
        <v>200</v>
      </c>
      <c r="L20">
        <v>0</v>
      </c>
      <c r="N20" t="s">
        <v>30</v>
      </c>
      <c r="O20" t="s">
        <v>41</v>
      </c>
    </row>
    <row r="21" spans="1:15" ht="12.6" customHeight="1" x14ac:dyDescent="0.3">
      <c r="A21" s="4">
        <v>45835</v>
      </c>
      <c r="B21" t="s">
        <v>10</v>
      </c>
      <c r="C21" t="s">
        <v>11</v>
      </c>
      <c r="D21">
        <v>0.104811</v>
      </c>
      <c r="F21" t="s">
        <v>74</v>
      </c>
      <c r="G21" t="s">
        <v>17</v>
      </c>
      <c r="H21">
        <v>2834</v>
      </c>
      <c r="J21">
        <v>297.02999999999997</v>
      </c>
      <c r="L21">
        <v>2.97</v>
      </c>
      <c r="N21" t="s">
        <v>30</v>
      </c>
      <c r="O21" t="s">
        <v>41</v>
      </c>
    </row>
    <row r="22" spans="1:15" ht="12.6" customHeight="1" x14ac:dyDescent="0.3">
      <c r="A22" s="4">
        <v>45842</v>
      </c>
      <c r="B22" t="s">
        <v>7</v>
      </c>
      <c r="C22" t="s">
        <v>34</v>
      </c>
      <c r="D22">
        <v>3</v>
      </c>
      <c r="F22" t="s">
        <v>74</v>
      </c>
      <c r="G22" s="2" t="s">
        <v>19</v>
      </c>
      <c r="H22">
        <v>101.59</v>
      </c>
      <c r="J22">
        <f>H22*D22</f>
        <v>304.77</v>
      </c>
      <c r="L22">
        <v>3.5</v>
      </c>
      <c r="N22" t="s">
        <v>30</v>
      </c>
      <c r="O22" t="s">
        <v>41</v>
      </c>
    </row>
    <row r="23" spans="1:15" ht="12.6" customHeight="1" x14ac:dyDescent="0.3">
      <c r="A23" s="4">
        <v>45861</v>
      </c>
      <c r="B23" t="s">
        <v>5</v>
      </c>
      <c r="C23" t="s">
        <v>26</v>
      </c>
      <c r="D23">
        <v>4.6425260000000002</v>
      </c>
      <c r="F23" t="s">
        <v>16</v>
      </c>
      <c r="G23" t="s">
        <v>17</v>
      </c>
      <c r="H23">
        <v>107.7</v>
      </c>
      <c r="J23">
        <v>500</v>
      </c>
      <c r="L23">
        <v>0</v>
      </c>
      <c r="N23" t="s">
        <v>30</v>
      </c>
      <c r="O23" t="s">
        <v>41</v>
      </c>
    </row>
    <row r="24" spans="1:15" ht="12.6" customHeight="1" x14ac:dyDescent="0.3">
      <c r="A24" s="4">
        <v>45861</v>
      </c>
      <c r="B24" t="s">
        <v>5</v>
      </c>
      <c r="C24" t="s">
        <v>26</v>
      </c>
      <c r="D24">
        <v>1.855288</v>
      </c>
      <c r="F24" t="s">
        <v>16</v>
      </c>
      <c r="G24" t="s">
        <v>17</v>
      </c>
      <c r="H24">
        <v>107.8</v>
      </c>
      <c r="J24">
        <v>200</v>
      </c>
      <c r="L24">
        <v>0</v>
      </c>
      <c r="N24" t="s">
        <v>30</v>
      </c>
      <c r="O24" t="s">
        <v>41</v>
      </c>
    </row>
    <row r="25" spans="1:15" ht="12.6" customHeight="1" x14ac:dyDescent="0.3">
      <c r="A25" s="4">
        <v>45870</v>
      </c>
      <c r="B25" t="s">
        <v>7</v>
      </c>
      <c r="C25" t="s">
        <v>34</v>
      </c>
      <c r="D25">
        <v>2.8923890000000001</v>
      </c>
      <c r="F25" t="s">
        <v>74</v>
      </c>
      <c r="G25" t="s">
        <v>17</v>
      </c>
      <c r="H25">
        <v>103.72</v>
      </c>
      <c r="J25">
        <v>300</v>
      </c>
      <c r="L25">
        <v>0</v>
      </c>
      <c r="N25" t="s">
        <v>30</v>
      </c>
      <c r="O25" t="s">
        <v>41</v>
      </c>
    </row>
    <row r="26" spans="1:15" ht="12.6" customHeight="1" x14ac:dyDescent="0.3">
      <c r="A26" s="4">
        <v>45895</v>
      </c>
      <c r="B26" t="s">
        <v>5</v>
      </c>
      <c r="C26" t="s">
        <v>26</v>
      </c>
      <c r="D26">
        <v>3.4866069999999998</v>
      </c>
      <c r="F26" t="s">
        <v>16</v>
      </c>
      <c r="G26" t="s">
        <v>17</v>
      </c>
      <c r="H26">
        <v>112</v>
      </c>
      <c r="J26">
        <v>390.5</v>
      </c>
      <c r="L26">
        <v>0</v>
      </c>
      <c r="N26" t="s">
        <v>30</v>
      </c>
      <c r="O26" t="s">
        <v>41</v>
      </c>
    </row>
    <row r="27" spans="1:15" ht="12.6" customHeight="1" x14ac:dyDescent="0.3">
      <c r="A27" s="4">
        <v>45896</v>
      </c>
      <c r="B27" t="s">
        <v>5</v>
      </c>
      <c r="C27" t="s">
        <v>26</v>
      </c>
      <c r="D27">
        <v>9.1828210000000006</v>
      </c>
      <c r="F27" t="s">
        <v>16</v>
      </c>
      <c r="G27" t="s">
        <v>17</v>
      </c>
      <c r="H27">
        <v>110.6</v>
      </c>
      <c r="J27">
        <v>1015.62</v>
      </c>
      <c r="L27">
        <v>2.54</v>
      </c>
      <c r="N27" t="s">
        <v>30</v>
      </c>
      <c r="O27" t="s">
        <v>41</v>
      </c>
    </row>
    <row r="28" spans="1:15" ht="12.6" customHeight="1" x14ac:dyDescent="0.3">
      <c r="A28" s="4">
        <v>45901</v>
      </c>
      <c r="B28" t="s">
        <v>10</v>
      </c>
      <c r="C28" t="s">
        <v>11</v>
      </c>
      <c r="D28">
        <v>0.33332299999999998</v>
      </c>
      <c r="F28" t="s">
        <v>16</v>
      </c>
      <c r="G28" t="s">
        <v>17</v>
      </c>
      <c r="H28">
        <v>3000.1</v>
      </c>
      <c r="J28">
        <v>1000</v>
      </c>
      <c r="L28">
        <v>10</v>
      </c>
      <c r="N28" t="s">
        <v>30</v>
      </c>
      <c r="O28" t="s">
        <v>41</v>
      </c>
    </row>
    <row r="29" spans="1:15" ht="12.6" customHeight="1" x14ac:dyDescent="0.3">
      <c r="A29" s="4">
        <v>45909</v>
      </c>
      <c r="B29" t="s">
        <v>12</v>
      </c>
      <c r="C29" t="s">
        <v>39</v>
      </c>
      <c r="D29">
        <v>13.72322949</v>
      </c>
      <c r="F29" t="s">
        <v>74</v>
      </c>
      <c r="G29" t="s">
        <v>17</v>
      </c>
      <c r="H29">
        <v>99.83</v>
      </c>
      <c r="J29">
        <v>1373.41</v>
      </c>
      <c r="L29">
        <v>3.42</v>
      </c>
      <c r="N29" t="s">
        <v>30</v>
      </c>
      <c r="O29" t="s">
        <v>41</v>
      </c>
    </row>
    <row r="30" spans="1:15" ht="12.6" customHeight="1" x14ac:dyDescent="0.3">
      <c r="A30" s="3">
        <v>45909</v>
      </c>
      <c r="B30" s="2" t="s">
        <v>6</v>
      </c>
      <c r="C30" s="2" t="s">
        <v>50</v>
      </c>
      <c r="D30" s="2">
        <v>15.518513</v>
      </c>
      <c r="E30" s="2"/>
      <c r="F30" t="s">
        <v>74</v>
      </c>
      <c r="G30" t="s">
        <v>17</v>
      </c>
      <c r="H30" s="2">
        <v>64.2</v>
      </c>
      <c r="J30">
        <f>H30*D30</f>
        <v>996.28853460000005</v>
      </c>
      <c r="L30">
        <v>0</v>
      </c>
      <c r="N30" t="s">
        <v>30</v>
      </c>
      <c r="O30" s="6" t="s">
        <v>42</v>
      </c>
    </row>
    <row r="31" spans="1:15" ht="12.6" customHeight="1" x14ac:dyDescent="0.3">
      <c r="A31" s="3">
        <v>45909</v>
      </c>
      <c r="B31" s="2" t="s">
        <v>6</v>
      </c>
      <c r="C31" s="2" t="s">
        <v>50</v>
      </c>
      <c r="D31" s="2">
        <v>2.9691209999999999</v>
      </c>
      <c r="E31" s="2"/>
      <c r="F31" t="s">
        <v>74</v>
      </c>
      <c r="G31" t="s">
        <v>17</v>
      </c>
      <c r="H31" s="2">
        <v>64.2</v>
      </c>
      <c r="J31">
        <f>H31*D31</f>
        <v>190.61756819999999</v>
      </c>
      <c r="L31">
        <v>0</v>
      </c>
      <c r="N31" t="s">
        <v>30</v>
      </c>
      <c r="O31" s="6" t="s">
        <v>42</v>
      </c>
    </row>
    <row r="32" spans="1:15" ht="12.6" customHeight="1" x14ac:dyDescent="0.3">
      <c r="A32" s="3">
        <v>45909</v>
      </c>
      <c r="B32" s="2" t="s">
        <v>6</v>
      </c>
      <c r="C32" s="2" t="s">
        <v>50</v>
      </c>
      <c r="D32" s="2">
        <v>2.9586679999999999</v>
      </c>
      <c r="E32" s="2"/>
      <c r="F32" t="s">
        <v>74</v>
      </c>
      <c r="G32" t="s">
        <v>17</v>
      </c>
      <c r="H32" s="2">
        <v>64.2</v>
      </c>
      <c r="J32">
        <f>H32*D32</f>
        <v>189.94648559999999</v>
      </c>
      <c r="L32">
        <v>0</v>
      </c>
      <c r="N32" t="s">
        <v>30</v>
      </c>
      <c r="O32" s="6" t="s">
        <v>42</v>
      </c>
    </row>
    <row r="33" spans="1:15" ht="12.6" customHeight="1" x14ac:dyDescent="0.3">
      <c r="A33" s="4">
        <v>45916</v>
      </c>
      <c r="B33" t="s">
        <v>49</v>
      </c>
      <c r="C33" t="s">
        <v>23</v>
      </c>
      <c r="D33">
        <v>16.088870960000001</v>
      </c>
      <c r="F33" t="s">
        <v>16</v>
      </c>
      <c r="G33" t="s">
        <v>17</v>
      </c>
      <c r="H33">
        <v>62</v>
      </c>
      <c r="J33">
        <v>997.51</v>
      </c>
      <c r="L33">
        <v>2.4900000000000002</v>
      </c>
      <c r="N33" t="s">
        <v>30</v>
      </c>
      <c r="O33" t="s">
        <v>41</v>
      </c>
    </row>
    <row r="34" spans="1:15" x14ac:dyDescent="0.3">
      <c r="A34" s="4">
        <v>45926</v>
      </c>
      <c r="B34" t="s">
        <v>10</v>
      </c>
      <c r="C34" t="s">
        <v>11</v>
      </c>
      <c r="D34">
        <v>0.33570899999999998</v>
      </c>
      <c r="F34" t="s">
        <v>74</v>
      </c>
      <c r="G34" t="s">
        <v>17</v>
      </c>
      <c r="H34">
        <v>3244.2</v>
      </c>
      <c r="J34">
        <v>1089.1099999999999</v>
      </c>
      <c r="L34">
        <v>10.89</v>
      </c>
      <c r="N34" t="s">
        <v>30</v>
      </c>
      <c r="O34" t="s">
        <v>41</v>
      </c>
    </row>
    <row r="35" spans="1:15" x14ac:dyDescent="0.3">
      <c r="A35" s="3">
        <v>45930</v>
      </c>
      <c r="B35" t="s">
        <v>49</v>
      </c>
      <c r="C35" t="s">
        <v>23</v>
      </c>
      <c r="D35">
        <v>16.088870960000001</v>
      </c>
      <c r="F35" t="s">
        <v>16</v>
      </c>
      <c r="G35" t="s">
        <v>17</v>
      </c>
      <c r="H35" s="2">
        <v>67</v>
      </c>
      <c r="J35">
        <f>H35*D35</f>
        <v>1077.95435432</v>
      </c>
      <c r="N35" t="s">
        <v>30</v>
      </c>
      <c r="O35" s="6" t="s">
        <v>42</v>
      </c>
    </row>
    <row r="36" spans="1:15" x14ac:dyDescent="0.3">
      <c r="A36" s="3">
        <v>45964</v>
      </c>
      <c r="B36" t="s">
        <v>7</v>
      </c>
      <c r="C36" t="s">
        <v>34</v>
      </c>
      <c r="D36">
        <v>3.9238096200000001</v>
      </c>
      <c r="F36" t="s">
        <v>74</v>
      </c>
      <c r="G36" t="s">
        <v>17</v>
      </c>
      <c r="H36">
        <v>113.92</v>
      </c>
      <c r="J36">
        <v>447</v>
      </c>
      <c r="L36">
        <v>0</v>
      </c>
      <c r="N36" t="s">
        <v>30</v>
      </c>
      <c r="O36" t="s">
        <v>41</v>
      </c>
    </row>
    <row r="37" spans="1:15" x14ac:dyDescent="0.3">
      <c r="A37" s="3">
        <v>45964</v>
      </c>
      <c r="B37" t="s">
        <v>18</v>
      </c>
      <c r="C37" t="s">
        <v>35</v>
      </c>
      <c r="D37">
        <v>7.2468456799999998</v>
      </c>
      <c r="F37" t="s">
        <v>74</v>
      </c>
      <c r="G37" t="s">
        <v>17</v>
      </c>
      <c r="H37">
        <v>61.8</v>
      </c>
      <c r="J37">
        <f>H37*D37</f>
        <v>447.85506302399995</v>
      </c>
      <c r="L37">
        <v>0</v>
      </c>
      <c r="N37" t="s">
        <v>30</v>
      </c>
      <c r="O37" t="s">
        <v>41</v>
      </c>
    </row>
    <row r="38" spans="1:15" x14ac:dyDescent="0.3">
      <c r="A38" s="3">
        <v>45964</v>
      </c>
      <c r="B38" t="s">
        <v>18</v>
      </c>
      <c r="C38" t="s">
        <v>35</v>
      </c>
      <c r="D38">
        <v>3.5893203800000002</v>
      </c>
      <c r="F38" t="s">
        <v>74</v>
      </c>
      <c r="G38" t="s">
        <v>17</v>
      </c>
      <c r="H38">
        <v>61.82</v>
      </c>
      <c r="J38">
        <f>H38*D38</f>
        <v>221.89178589160002</v>
      </c>
      <c r="L38">
        <v>1</v>
      </c>
      <c r="N38" t="s">
        <v>30</v>
      </c>
      <c r="O38" t="s">
        <v>41</v>
      </c>
    </row>
    <row r="39" spans="1:15" ht="16.2" customHeight="1" x14ac:dyDescent="0.3">
      <c r="A39" s="3">
        <v>45964</v>
      </c>
      <c r="B39" s="2" t="s">
        <v>20</v>
      </c>
      <c r="C39" s="2" t="s">
        <v>38</v>
      </c>
      <c r="D39" s="2">
        <v>1</v>
      </c>
      <c r="E39" s="2"/>
      <c r="F39" t="s">
        <v>74</v>
      </c>
      <c r="G39" s="2" t="s">
        <v>19</v>
      </c>
      <c r="H39">
        <v>333.8</v>
      </c>
      <c r="J39">
        <f>H39*D39</f>
        <v>333.8</v>
      </c>
      <c r="L39">
        <v>1.25</v>
      </c>
      <c r="N39" t="s">
        <v>30</v>
      </c>
      <c r="O39" t="s">
        <v>41</v>
      </c>
    </row>
    <row r="40" spans="1:15" ht="16.2" customHeight="1" x14ac:dyDescent="0.3">
      <c r="A40" s="3">
        <v>45964</v>
      </c>
      <c r="B40" t="s">
        <v>5</v>
      </c>
      <c r="C40" t="s">
        <v>26</v>
      </c>
      <c r="D40" s="2">
        <v>9.8049999999999997</v>
      </c>
      <c r="E40" t="s">
        <v>45</v>
      </c>
      <c r="F40" t="s">
        <v>16</v>
      </c>
      <c r="G40" t="s">
        <v>17</v>
      </c>
      <c r="H40" s="2">
        <v>114</v>
      </c>
      <c r="J40">
        <f>D40*H40</f>
        <v>1117.77</v>
      </c>
      <c r="L40" s="2">
        <v>0</v>
      </c>
      <c r="N40" t="s">
        <v>30</v>
      </c>
      <c r="O40" s="6" t="s">
        <v>42</v>
      </c>
    </row>
    <row r="41" spans="1:15" ht="16.2" customHeight="1" x14ac:dyDescent="0.3">
      <c r="A41" s="3">
        <v>45966</v>
      </c>
      <c r="B41" t="s">
        <v>5</v>
      </c>
      <c r="C41" t="s">
        <v>26</v>
      </c>
      <c r="D41" s="2">
        <v>6.86</v>
      </c>
      <c r="E41" t="s">
        <v>45</v>
      </c>
      <c r="F41" t="s">
        <v>16</v>
      </c>
      <c r="G41" t="s">
        <v>17</v>
      </c>
      <c r="H41" s="2">
        <v>113.4</v>
      </c>
      <c r="J41">
        <f>D41*H41</f>
        <v>777.92400000000009</v>
      </c>
      <c r="L41" s="2">
        <v>1.94</v>
      </c>
      <c r="N41" t="s">
        <v>30</v>
      </c>
      <c r="O41" s="6" t="s">
        <v>42</v>
      </c>
    </row>
    <row r="42" spans="1:15" x14ac:dyDescent="0.3">
      <c r="A42" s="3">
        <v>45966</v>
      </c>
      <c r="B42" t="s">
        <v>21</v>
      </c>
      <c r="C42" s="2" t="s">
        <v>36</v>
      </c>
      <c r="D42">
        <v>8.2743791600000005</v>
      </c>
      <c r="F42" t="s">
        <v>16</v>
      </c>
      <c r="G42" t="s">
        <v>17</v>
      </c>
      <c r="H42">
        <v>66.040000000000006</v>
      </c>
      <c r="J42">
        <f>H42*D42</f>
        <v>546.43999972640006</v>
      </c>
      <c r="L42">
        <v>3.56</v>
      </c>
      <c r="N42" t="s">
        <v>30</v>
      </c>
      <c r="O42" t="s">
        <v>41</v>
      </c>
    </row>
    <row r="43" spans="1:15" x14ac:dyDescent="0.3">
      <c r="A43" s="3">
        <v>45966</v>
      </c>
      <c r="B43" t="s">
        <v>22</v>
      </c>
      <c r="C43" t="s">
        <v>37</v>
      </c>
      <c r="D43">
        <v>4.12807339</v>
      </c>
      <c r="F43" t="s">
        <v>16</v>
      </c>
      <c r="G43" t="s">
        <v>17</v>
      </c>
      <c r="H43">
        <v>54.5</v>
      </c>
      <c r="J43">
        <f>H43*D43</f>
        <v>224.97999975499999</v>
      </c>
      <c r="L43">
        <v>1</v>
      </c>
      <c r="N43" t="s">
        <v>30</v>
      </c>
      <c r="O43" t="s">
        <v>41</v>
      </c>
    </row>
    <row r="44" spans="1:15" x14ac:dyDescent="0.3">
      <c r="A44" s="3">
        <v>45971</v>
      </c>
      <c r="B44" t="s">
        <v>24</v>
      </c>
      <c r="C44" t="s">
        <v>25</v>
      </c>
      <c r="D44">
        <v>9.9500000000000005E-2</v>
      </c>
      <c r="F44" t="s">
        <v>16</v>
      </c>
      <c r="G44" s="2" t="s">
        <v>19</v>
      </c>
      <c r="H44">
        <f>I44/M44</f>
        <v>1733.4084482758622</v>
      </c>
      <c r="I44" s="2">
        <v>2010.7538</v>
      </c>
      <c r="J44">
        <v>180.18103448275863</v>
      </c>
      <c r="K44">
        <f>D44*I44</f>
        <v>200.07000310000001</v>
      </c>
      <c r="M44">
        <v>1.1599999999999999</v>
      </c>
      <c r="N44" t="s">
        <v>29</v>
      </c>
      <c r="O44" s="6" t="s">
        <v>42</v>
      </c>
    </row>
    <row r="45" spans="1:15" x14ac:dyDescent="0.3">
      <c r="A45" s="3">
        <v>45972</v>
      </c>
      <c r="B45" t="s">
        <v>32</v>
      </c>
      <c r="C45" t="s">
        <v>33</v>
      </c>
      <c r="D45">
        <v>197.13332062999999</v>
      </c>
      <c r="F45" t="s">
        <v>16</v>
      </c>
      <c r="G45" s="2" t="s">
        <v>19</v>
      </c>
      <c r="H45">
        <f>I45/M45</f>
        <v>0.90712742980561556</v>
      </c>
      <c r="I45">
        <v>1.05</v>
      </c>
      <c r="J45">
        <f>K45/M45</f>
        <v>178.82504247213822</v>
      </c>
      <c r="K45">
        <f>I45*D45</f>
        <v>206.98998666149998</v>
      </c>
      <c r="L45">
        <v>0</v>
      </c>
      <c r="M45">
        <v>1.1575</v>
      </c>
      <c r="N45" t="s">
        <v>29</v>
      </c>
      <c r="O45" t="s">
        <v>41</v>
      </c>
    </row>
    <row r="46" spans="1:15" x14ac:dyDescent="0.3">
      <c r="A46" s="3">
        <v>45993</v>
      </c>
      <c r="B46" t="s">
        <v>32</v>
      </c>
      <c r="C46" t="s">
        <v>33</v>
      </c>
      <c r="D46">
        <v>197.13332062999999</v>
      </c>
      <c r="F46" t="s">
        <v>16</v>
      </c>
      <c r="G46" s="2" t="s">
        <v>19</v>
      </c>
      <c r="H46">
        <f>I46/M46</f>
        <v>1.5525813538350375</v>
      </c>
      <c r="I46">
        <f>K46/D46</f>
        <v>1.8199358629654308</v>
      </c>
      <c r="J46">
        <f>K46/M46</f>
        <v>306.0655178297219</v>
      </c>
      <c r="K46">
        <v>358.77</v>
      </c>
      <c r="M46">
        <v>1.1721999999999999</v>
      </c>
      <c r="N46" t="s">
        <v>29</v>
      </c>
      <c r="O46" s="6" t="s">
        <v>42</v>
      </c>
    </row>
    <row r="47" spans="1:15" x14ac:dyDescent="0.3">
      <c r="A47" s="3">
        <v>46001</v>
      </c>
      <c r="B47" t="s">
        <v>5</v>
      </c>
      <c r="C47" t="s">
        <v>26</v>
      </c>
      <c r="D47" s="2">
        <f>16.01639398+0.000456020000001445</f>
        <v>16.016850000000002</v>
      </c>
      <c r="F47" t="s">
        <v>16</v>
      </c>
      <c r="G47" t="s">
        <v>17</v>
      </c>
      <c r="H47">
        <v>110.31322045438345</v>
      </c>
      <c r="J47">
        <v>1766.82</v>
      </c>
      <c r="L47">
        <v>0</v>
      </c>
      <c r="N47" t="s">
        <v>30</v>
      </c>
      <c r="O47" s="6" t="s">
        <v>42</v>
      </c>
    </row>
    <row r="48" spans="1:15" x14ac:dyDescent="0.3">
      <c r="A48" s="3">
        <v>45996</v>
      </c>
      <c r="B48" t="s">
        <v>32</v>
      </c>
      <c r="C48" t="s">
        <v>33</v>
      </c>
      <c r="D48">
        <v>421.68674698000001</v>
      </c>
      <c r="F48" t="s">
        <v>16</v>
      </c>
      <c r="G48" s="2" t="s">
        <v>19</v>
      </c>
      <c r="H48">
        <f>I48/M48</f>
        <v>0.71575783598110776</v>
      </c>
      <c r="I48">
        <v>0.83350000000000002</v>
      </c>
      <c r="J48">
        <f>K48/M48</f>
        <v>301.82559348031771</v>
      </c>
      <c r="K48">
        <f>I48*D48</f>
        <v>351.47590360782999</v>
      </c>
      <c r="L48">
        <v>1.49</v>
      </c>
      <c r="M48">
        <v>1.1645000000000001</v>
      </c>
      <c r="N48" t="s">
        <v>29</v>
      </c>
      <c r="O48" t="s">
        <v>41</v>
      </c>
    </row>
    <row r="49" spans="1:20" x14ac:dyDescent="0.3">
      <c r="A49" s="3">
        <v>46020</v>
      </c>
      <c r="B49" t="s">
        <v>32</v>
      </c>
      <c r="C49" t="s">
        <v>33</v>
      </c>
      <c r="D49">
        <v>421.68674698000001</v>
      </c>
      <c r="F49" t="s">
        <v>16</v>
      </c>
      <c r="G49" s="2" t="s">
        <v>19</v>
      </c>
      <c r="H49">
        <f>J49/D49</f>
        <v>0.76764065954192751</v>
      </c>
      <c r="J49">
        <f>K49/M49</f>
        <v>323.70389257181711</v>
      </c>
      <c r="K49">
        <v>380.87</v>
      </c>
      <c r="M49">
        <v>1.1766000000000001</v>
      </c>
      <c r="N49" t="s">
        <v>29</v>
      </c>
      <c r="O49" s="6" t="s">
        <v>42</v>
      </c>
    </row>
    <row r="50" spans="1:20" x14ac:dyDescent="0.3">
      <c r="A50" s="3">
        <v>46007</v>
      </c>
      <c r="B50" t="s">
        <v>22</v>
      </c>
      <c r="C50" t="s">
        <v>37</v>
      </c>
      <c r="D50">
        <v>4.12807339</v>
      </c>
      <c r="F50" t="s">
        <v>16</v>
      </c>
      <c r="G50" t="s">
        <v>17</v>
      </c>
      <c r="H50" s="2">
        <v>53.75</v>
      </c>
      <c r="J50">
        <v>221.88</v>
      </c>
      <c r="N50" t="s">
        <v>30</v>
      </c>
      <c r="O50" s="6" t="s">
        <v>42</v>
      </c>
    </row>
    <row r="51" spans="1:20" x14ac:dyDescent="0.3">
      <c r="A51" s="3">
        <v>46009</v>
      </c>
      <c r="B51" t="s">
        <v>8</v>
      </c>
      <c r="C51" t="s">
        <v>9</v>
      </c>
      <c r="D51">
        <v>5.1083429999999996</v>
      </c>
      <c r="F51" t="s">
        <v>16</v>
      </c>
      <c r="G51" t="s">
        <v>17</v>
      </c>
      <c r="H51">
        <f>I51/M51</f>
        <v>407.932554579255</v>
      </c>
      <c r="I51">
        <f>K51/D51</f>
        <v>478.1785404778027</v>
      </c>
      <c r="J51">
        <f>K51/M51</f>
        <v>2083.859409657055</v>
      </c>
      <c r="K51">
        <v>2442.6999999999998</v>
      </c>
      <c r="M51">
        <v>1.1721999999999999</v>
      </c>
      <c r="N51" t="s">
        <v>29</v>
      </c>
      <c r="O51" s="6" t="s">
        <v>42</v>
      </c>
    </row>
    <row r="52" spans="1:20" x14ac:dyDescent="0.3">
      <c r="A52" s="3">
        <v>46009</v>
      </c>
      <c r="B52" t="s">
        <v>27</v>
      </c>
      <c r="C52" t="s">
        <v>28</v>
      </c>
      <c r="D52">
        <v>0.45291211999999997</v>
      </c>
      <c r="F52" t="s">
        <v>16</v>
      </c>
      <c r="G52" t="s">
        <v>17</v>
      </c>
      <c r="H52">
        <f>I52/M52</f>
        <v>4602.2015530335357</v>
      </c>
      <c r="I52">
        <v>5393.32</v>
      </c>
      <c r="J52">
        <f>K52/M52</f>
        <v>2084.3928662855192</v>
      </c>
      <c r="K52">
        <v>2442.6999999999998</v>
      </c>
      <c r="L52">
        <v>0</v>
      </c>
      <c r="M52">
        <v>1.1718999999999999</v>
      </c>
      <c r="N52" t="s">
        <v>29</v>
      </c>
      <c r="O52" t="s">
        <v>41</v>
      </c>
    </row>
    <row r="53" spans="1:20" x14ac:dyDescent="0.3">
      <c r="A53" s="3">
        <v>46014</v>
      </c>
      <c r="B53" t="s">
        <v>51</v>
      </c>
      <c r="C53" t="s">
        <v>52</v>
      </c>
      <c r="D53">
        <v>35.120592379999998</v>
      </c>
      <c r="F53" t="s">
        <v>16</v>
      </c>
      <c r="G53" t="s">
        <v>17</v>
      </c>
      <c r="H53">
        <v>28.36</v>
      </c>
      <c r="J53">
        <v>996.02</v>
      </c>
      <c r="L53">
        <v>3.98</v>
      </c>
      <c r="N53" t="s">
        <v>30</v>
      </c>
      <c r="O53" t="s">
        <v>41</v>
      </c>
    </row>
    <row r="54" spans="1:20" x14ac:dyDescent="0.3">
      <c r="A54" s="3">
        <v>46016</v>
      </c>
      <c r="B54" t="s">
        <v>75</v>
      </c>
      <c r="C54" t="s">
        <v>76</v>
      </c>
      <c r="D54">
        <v>120</v>
      </c>
      <c r="F54" t="s">
        <v>16</v>
      </c>
      <c r="G54" s="2" t="s">
        <v>19</v>
      </c>
      <c r="H54">
        <f>J54/D54</f>
        <v>2.7975781190312476</v>
      </c>
      <c r="I54">
        <f>K54/D54</f>
        <v>2.4411666666666667</v>
      </c>
      <c r="J54">
        <f>K54/M54</f>
        <v>335.7093742837497</v>
      </c>
      <c r="K54">
        <v>292.94</v>
      </c>
      <c r="L54">
        <f>(3.5+1.44)/M54</f>
        <v>5.6612422644969049</v>
      </c>
      <c r="M54">
        <v>0.87260000000000004</v>
      </c>
      <c r="N54" t="s">
        <v>58</v>
      </c>
      <c r="O54" t="s">
        <v>41</v>
      </c>
      <c r="Q54">
        <v>2.4700000000000002</v>
      </c>
      <c r="R54" s="12">
        <v>0.14299999999999999</v>
      </c>
      <c r="S54" s="3">
        <v>46045</v>
      </c>
    </row>
    <row r="55" spans="1:20" x14ac:dyDescent="0.3">
      <c r="A55" s="3">
        <v>46014</v>
      </c>
      <c r="B55" t="s">
        <v>66</v>
      </c>
      <c r="C55" t="s">
        <v>65</v>
      </c>
      <c r="D55">
        <v>1.1902459299999999</v>
      </c>
      <c r="F55" t="s">
        <v>16</v>
      </c>
      <c r="G55" s="2" t="s">
        <v>19</v>
      </c>
      <c r="H55">
        <f>I55/M55</f>
        <v>572.26905065985522</v>
      </c>
      <c r="I55">
        <v>672.13</v>
      </c>
      <c r="J55">
        <f>K55/M55</f>
        <v>681.14091102596842</v>
      </c>
      <c r="K55">
        <v>800</v>
      </c>
      <c r="L55">
        <v>0</v>
      </c>
      <c r="M55">
        <v>1.1745000000000001</v>
      </c>
      <c r="N55" t="s">
        <v>29</v>
      </c>
      <c r="O55" t="s">
        <v>41</v>
      </c>
    </row>
    <row r="56" spans="1:20" x14ac:dyDescent="0.3">
      <c r="A56" s="3">
        <v>46020</v>
      </c>
      <c r="B56" t="s">
        <v>67</v>
      </c>
      <c r="C56" t="s">
        <v>67</v>
      </c>
      <c r="D56">
        <v>2.2438178500000001</v>
      </c>
      <c r="F56" t="s">
        <v>16</v>
      </c>
      <c r="G56" t="s">
        <v>17</v>
      </c>
      <c r="H56">
        <f>I56/M56</f>
        <v>56.26537711037583</v>
      </c>
      <c r="I56">
        <v>66.319999999999993</v>
      </c>
      <c r="J56">
        <f>K56/M56</f>
        <v>126.24925765674047</v>
      </c>
      <c r="K56">
        <v>148.81</v>
      </c>
      <c r="L56">
        <f>1.17/M56</f>
        <v>0.99261898701959772</v>
      </c>
      <c r="M56">
        <v>1.1787000000000001</v>
      </c>
      <c r="N56" t="s">
        <v>29</v>
      </c>
      <c r="O56" t="s">
        <v>41</v>
      </c>
    </row>
    <row r="57" spans="1:20" x14ac:dyDescent="0.3">
      <c r="A57" s="3">
        <v>46024</v>
      </c>
      <c r="B57" t="s">
        <v>66</v>
      </c>
      <c r="C57" t="s">
        <v>65</v>
      </c>
      <c r="D57">
        <v>1.1902459299999999</v>
      </c>
      <c r="F57" t="s">
        <v>16</v>
      </c>
      <c r="G57" s="2" t="s">
        <v>19</v>
      </c>
      <c r="H57">
        <f>I57/M57</f>
        <v>537.34323009982086</v>
      </c>
      <c r="I57">
        <v>629.82000000000005</v>
      </c>
      <c r="J57">
        <f>K57/M57</f>
        <v>637.85513181469162</v>
      </c>
      <c r="K57">
        <v>747.63</v>
      </c>
      <c r="M57">
        <v>1.1720999999999999</v>
      </c>
      <c r="N57" t="s">
        <v>29</v>
      </c>
      <c r="O57" s="6" t="s">
        <v>42</v>
      </c>
    </row>
    <row r="58" spans="1:20" x14ac:dyDescent="0.3">
      <c r="A58" s="3">
        <v>46024</v>
      </c>
      <c r="B58" t="s">
        <v>32</v>
      </c>
      <c r="C58" t="s">
        <v>33</v>
      </c>
      <c r="D58">
        <v>559.43333954000002</v>
      </c>
      <c r="F58" t="s">
        <v>16</v>
      </c>
      <c r="G58" s="2" t="s">
        <v>19</v>
      </c>
      <c r="H58">
        <f>I58/M58</f>
        <v>0.46071154338367037</v>
      </c>
      <c r="I58">
        <v>0.54</v>
      </c>
      <c r="J58">
        <f>K58/M58</f>
        <v>255.95085743537243</v>
      </c>
      <c r="K58">
        <v>300</v>
      </c>
      <c r="M58">
        <v>1.1720999999999999</v>
      </c>
      <c r="N58" t="s">
        <v>29</v>
      </c>
      <c r="O58" t="s">
        <v>41</v>
      </c>
    </row>
    <row r="59" spans="1:20" x14ac:dyDescent="0.3">
      <c r="A59" s="3">
        <v>46027</v>
      </c>
      <c r="B59" t="s">
        <v>21</v>
      </c>
      <c r="C59" s="2" t="s">
        <v>36</v>
      </c>
      <c r="D59">
        <v>8.2743791600000005</v>
      </c>
      <c r="F59" t="s">
        <v>16</v>
      </c>
      <c r="G59" t="s">
        <v>17</v>
      </c>
      <c r="H59">
        <v>81.900000000000006</v>
      </c>
      <c r="J59">
        <v>677.67</v>
      </c>
      <c r="L59">
        <v>1.69</v>
      </c>
      <c r="N59" t="s">
        <v>30</v>
      </c>
      <c r="O59" s="6" t="s">
        <v>42</v>
      </c>
    </row>
    <row r="60" spans="1:20" x14ac:dyDescent="0.3">
      <c r="A60" s="3">
        <v>46028</v>
      </c>
      <c r="B60" t="s">
        <v>70</v>
      </c>
      <c r="C60" s="2" t="s">
        <v>69</v>
      </c>
      <c r="D60">
        <v>10.80592699</v>
      </c>
      <c r="F60" t="s">
        <v>16</v>
      </c>
      <c r="G60" t="s">
        <v>17</v>
      </c>
      <c r="H60">
        <v>27.67</v>
      </c>
      <c r="J60">
        <v>299</v>
      </c>
      <c r="L60">
        <v>1</v>
      </c>
      <c r="N60" t="s">
        <v>30</v>
      </c>
      <c r="O60" t="s">
        <v>41</v>
      </c>
      <c r="P60">
        <v>37.76</v>
      </c>
      <c r="R60" s="12">
        <v>0.41410000000000002</v>
      </c>
      <c r="S60" s="3">
        <v>46045</v>
      </c>
      <c r="T60" t="s">
        <v>96</v>
      </c>
    </row>
    <row r="61" spans="1:20" x14ac:dyDescent="0.3">
      <c r="A61" s="3">
        <v>46029</v>
      </c>
      <c r="B61" t="s">
        <v>27</v>
      </c>
      <c r="C61" t="s">
        <v>28</v>
      </c>
      <c r="D61">
        <f>D52/2</f>
        <v>0.22645605999999999</v>
      </c>
      <c r="E61" t="s">
        <v>73</v>
      </c>
      <c r="F61" t="s">
        <v>16</v>
      </c>
      <c r="G61" t="s">
        <v>17</v>
      </c>
      <c r="H61">
        <f>I61/M61</f>
        <v>4664.8921602191031</v>
      </c>
      <c r="I61">
        <v>5450.46</v>
      </c>
      <c r="J61">
        <f>K61/M61</f>
        <v>1056.3933584388906</v>
      </c>
      <c r="K61">
        <v>1234.29</v>
      </c>
      <c r="L61">
        <v>0</v>
      </c>
      <c r="M61">
        <v>1.1684000000000001</v>
      </c>
      <c r="N61" t="s">
        <v>29</v>
      </c>
      <c r="O61" s="6" t="s">
        <v>42</v>
      </c>
    </row>
    <row r="62" spans="1:20" x14ac:dyDescent="0.3">
      <c r="A62" s="3">
        <v>46030</v>
      </c>
      <c r="B62" t="s">
        <v>71</v>
      </c>
      <c r="C62" t="s">
        <v>72</v>
      </c>
      <c r="D62">
        <v>1.4625377500000001</v>
      </c>
      <c r="F62" t="s">
        <v>16</v>
      </c>
      <c r="G62" t="s">
        <v>17</v>
      </c>
      <c r="H62">
        <f>I62/M62</f>
        <v>292.08565310492503</v>
      </c>
      <c r="I62">
        <v>341.01</v>
      </c>
      <c r="J62">
        <f>K62/M62</f>
        <v>428.2569593147752</v>
      </c>
      <c r="K62">
        <v>499.99</v>
      </c>
      <c r="M62">
        <v>1.1675</v>
      </c>
      <c r="N62" t="s">
        <v>29</v>
      </c>
      <c r="O62" t="s">
        <v>41</v>
      </c>
    </row>
    <row r="63" spans="1:20" x14ac:dyDescent="0.3">
      <c r="A63" s="3">
        <v>46037</v>
      </c>
      <c r="B63" t="s">
        <v>32</v>
      </c>
      <c r="C63" t="s">
        <v>33</v>
      </c>
      <c r="D63">
        <v>559.43333954000002</v>
      </c>
      <c r="F63" t="s">
        <v>16</v>
      </c>
      <c r="G63" s="2" t="s">
        <v>19</v>
      </c>
      <c r="H63">
        <f>I63/M63</f>
        <v>0.32682577241594529</v>
      </c>
      <c r="I63">
        <f>K63/D63</f>
        <v>0.37990227785629482</v>
      </c>
      <c r="J63">
        <f>K63/M63</f>
        <v>182.83723331039226</v>
      </c>
      <c r="K63">
        <v>212.53</v>
      </c>
      <c r="M63">
        <v>1.1624000000000001</v>
      </c>
      <c r="N63" t="s">
        <v>29</v>
      </c>
      <c r="O63" s="6" t="s">
        <v>42</v>
      </c>
    </row>
    <row r="64" spans="1:20" x14ac:dyDescent="0.3">
      <c r="A64" s="3">
        <v>46038</v>
      </c>
      <c r="B64" t="s">
        <v>18</v>
      </c>
      <c r="C64" t="s">
        <v>35</v>
      </c>
      <c r="D64">
        <f>D38+D37</f>
        <v>10.83616606</v>
      </c>
      <c r="F64" t="s">
        <v>74</v>
      </c>
      <c r="G64" t="s">
        <v>17</v>
      </c>
      <c r="H64">
        <f>J64/D64</f>
        <v>63.020444336010847</v>
      </c>
      <c r="J64">
        <v>682.9</v>
      </c>
      <c r="L64">
        <v>1.71</v>
      </c>
      <c r="N64" t="s">
        <v>30</v>
      </c>
      <c r="O64" s="6" t="s">
        <v>42</v>
      </c>
    </row>
    <row r="65" spans="1:20" x14ac:dyDescent="0.3">
      <c r="A65" s="3">
        <v>46041</v>
      </c>
      <c r="B65" t="s">
        <v>7</v>
      </c>
      <c r="C65" t="s">
        <v>34</v>
      </c>
      <c r="D65">
        <v>5.9987671100000002</v>
      </c>
      <c r="F65" t="s">
        <v>74</v>
      </c>
      <c r="G65" t="s">
        <v>17</v>
      </c>
      <c r="H65">
        <v>113.56</v>
      </c>
      <c r="J65">
        <v>681.19</v>
      </c>
      <c r="L65">
        <v>0</v>
      </c>
      <c r="N65" t="s">
        <v>30</v>
      </c>
      <c r="O65" t="s">
        <v>41</v>
      </c>
    </row>
    <row r="66" spans="1:20" x14ac:dyDescent="0.3">
      <c r="A66" s="3">
        <v>46041</v>
      </c>
      <c r="B66" t="s">
        <v>12</v>
      </c>
      <c r="C66" t="s">
        <v>39</v>
      </c>
      <c r="D66">
        <v>6.6592397200000004</v>
      </c>
      <c r="F66" t="s">
        <v>74</v>
      </c>
      <c r="G66" t="s">
        <v>17</v>
      </c>
      <c r="H66" s="5">
        <v>109.96</v>
      </c>
      <c r="J66">
        <v>732.25</v>
      </c>
      <c r="L66">
        <v>0</v>
      </c>
      <c r="N66" t="s">
        <v>30</v>
      </c>
      <c r="O66" t="s">
        <v>41</v>
      </c>
    </row>
    <row r="67" spans="1:20" x14ac:dyDescent="0.3">
      <c r="A67" s="3">
        <v>46041</v>
      </c>
      <c r="B67" t="s">
        <v>12</v>
      </c>
      <c r="C67" t="s">
        <v>39</v>
      </c>
      <c r="D67">
        <v>4.5423497199999998</v>
      </c>
      <c r="F67" t="s">
        <v>74</v>
      </c>
      <c r="G67" t="s">
        <v>17</v>
      </c>
      <c r="H67" s="5">
        <v>109.8</v>
      </c>
      <c r="J67">
        <v>500</v>
      </c>
      <c r="L67">
        <v>1.25</v>
      </c>
      <c r="N67" t="s">
        <v>30</v>
      </c>
      <c r="O67" t="s">
        <v>41</v>
      </c>
    </row>
    <row r="68" spans="1:20" x14ac:dyDescent="0.3">
      <c r="A68" s="3">
        <v>46042</v>
      </c>
      <c r="B68" t="s">
        <v>71</v>
      </c>
      <c r="C68" t="s">
        <v>72</v>
      </c>
      <c r="D68">
        <v>1.4625377500000001</v>
      </c>
      <c r="F68" t="s">
        <v>16</v>
      </c>
      <c r="G68" t="s">
        <v>17</v>
      </c>
      <c r="H68">
        <f>I68/M68</f>
        <v>282.17481073640738</v>
      </c>
      <c r="I68">
        <v>328</v>
      </c>
      <c r="J68">
        <f>K68/M68</f>
        <v>412.68066070199581</v>
      </c>
      <c r="K68">
        <v>479.7</v>
      </c>
      <c r="L68">
        <v>0.01</v>
      </c>
      <c r="M68">
        <v>1.1624000000000001</v>
      </c>
      <c r="N68" t="s">
        <v>29</v>
      </c>
      <c r="O68" s="6" t="s">
        <v>42</v>
      </c>
    </row>
    <row r="69" spans="1:20" x14ac:dyDescent="0.3">
      <c r="A69" s="3">
        <v>46043</v>
      </c>
      <c r="B69" t="s">
        <v>12</v>
      </c>
      <c r="C69" t="s">
        <v>39</v>
      </c>
      <c r="D69">
        <v>9.1649209799999998</v>
      </c>
      <c r="F69" t="s">
        <v>74</v>
      </c>
      <c r="G69" t="s">
        <v>17</v>
      </c>
      <c r="H69">
        <v>108.84</v>
      </c>
      <c r="J69">
        <v>997.51</v>
      </c>
      <c r="L69">
        <v>2.4900000000000002</v>
      </c>
      <c r="N69" t="s">
        <v>30</v>
      </c>
      <c r="O69" t="s">
        <v>41</v>
      </c>
    </row>
    <row r="70" spans="1:20" x14ac:dyDescent="0.3">
      <c r="A70" s="3">
        <v>46045</v>
      </c>
      <c r="B70" t="s">
        <v>7</v>
      </c>
      <c r="C70" t="s">
        <v>34</v>
      </c>
      <c r="D70">
        <v>4</v>
      </c>
      <c r="F70" t="s">
        <v>74</v>
      </c>
      <c r="G70" s="2" t="s">
        <v>19</v>
      </c>
      <c r="H70">
        <f>J70/D70</f>
        <v>114.235</v>
      </c>
      <c r="J70">
        <v>456.94</v>
      </c>
      <c r="L70">
        <v>3.5</v>
      </c>
      <c r="N70" t="s">
        <v>30</v>
      </c>
      <c r="O70" t="s">
        <v>41</v>
      </c>
    </row>
    <row r="71" spans="1:20" x14ac:dyDescent="0.3">
      <c r="A71" s="3">
        <v>46045</v>
      </c>
      <c r="B71" t="s">
        <v>27</v>
      </c>
      <c r="C71" t="s">
        <v>28</v>
      </c>
      <c r="D71">
        <f>D61/2</f>
        <v>0.11322802999999999</v>
      </c>
      <c r="E71" t="s">
        <v>73</v>
      </c>
      <c r="F71" t="s">
        <v>16</v>
      </c>
      <c r="G71" t="s">
        <v>17</v>
      </c>
      <c r="H71">
        <f>I71/M71</f>
        <v>4462.9131504922652</v>
      </c>
      <c r="I71">
        <v>5077.01</v>
      </c>
      <c r="J71">
        <f>K71/M71</f>
        <v>505.32700421940933</v>
      </c>
      <c r="K71">
        <v>574.86</v>
      </c>
      <c r="L71">
        <f>1.45/M71</f>
        <v>1.2746132208157526</v>
      </c>
      <c r="M71">
        <v>1.1375999999999999</v>
      </c>
      <c r="N71" t="s">
        <v>29</v>
      </c>
      <c r="O71" s="6" t="s">
        <v>42</v>
      </c>
    </row>
    <row r="72" spans="1:20" x14ac:dyDescent="0.3">
      <c r="A72" s="3">
        <v>46045</v>
      </c>
      <c r="B72" t="s">
        <v>51</v>
      </c>
      <c r="C72" t="s">
        <v>52</v>
      </c>
      <c r="D72">
        <v>35.120592379999998</v>
      </c>
      <c r="F72" t="s">
        <v>16</v>
      </c>
      <c r="G72" t="s">
        <v>17</v>
      </c>
      <c r="H72">
        <v>27.04</v>
      </c>
      <c r="J72">
        <v>949.66</v>
      </c>
      <c r="L72">
        <v>2.37</v>
      </c>
      <c r="N72" t="s">
        <v>30</v>
      </c>
      <c r="O72" s="6" t="s">
        <v>42</v>
      </c>
    </row>
    <row r="73" spans="1:20" x14ac:dyDescent="0.3">
      <c r="A73" s="3">
        <v>46045</v>
      </c>
      <c r="B73" t="s">
        <v>80</v>
      </c>
      <c r="C73" t="s">
        <v>78</v>
      </c>
      <c r="D73">
        <v>6.5421394299999998</v>
      </c>
      <c r="F73" t="s">
        <v>16</v>
      </c>
      <c r="G73" t="s">
        <v>17</v>
      </c>
      <c r="H73">
        <f>I73/M73</f>
        <v>134.02777777777777</v>
      </c>
      <c r="I73">
        <v>152.47</v>
      </c>
      <c r="J73">
        <f>K73/M73</f>
        <v>876.82841068917025</v>
      </c>
      <c r="K73">
        <v>997.48</v>
      </c>
      <c r="L73">
        <f>2.49/M73</f>
        <v>2.1888185654008443</v>
      </c>
      <c r="M73">
        <v>1.1375999999999999</v>
      </c>
      <c r="N73" t="s">
        <v>29</v>
      </c>
      <c r="O73" t="s">
        <v>41</v>
      </c>
      <c r="Q73">
        <v>232.11</v>
      </c>
      <c r="R73" s="12">
        <v>0.55200000000000005</v>
      </c>
      <c r="S73" s="3">
        <v>46045</v>
      </c>
      <c r="T73" s="15" t="s">
        <v>103</v>
      </c>
    </row>
    <row r="74" spans="1:20" x14ac:dyDescent="0.3">
      <c r="A74" s="3">
        <v>46045</v>
      </c>
      <c r="B74" t="s">
        <v>81</v>
      </c>
      <c r="C74" t="s">
        <v>79</v>
      </c>
      <c r="D74">
        <v>91.783486229999994</v>
      </c>
      <c r="F74" t="s">
        <v>16</v>
      </c>
      <c r="G74" t="s">
        <v>17</v>
      </c>
      <c r="H74">
        <f>I74/M74</f>
        <v>9.5815752461322088</v>
      </c>
      <c r="I74">
        <v>10.9</v>
      </c>
      <c r="J74">
        <f>K74/M74</f>
        <v>879.46554149085796</v>
      </c>
      <c r="K74">
        <v>1000.48</v>
      </c>
      <c r="L74">
        <f>2.51/M74</f>
        <v>2.2063994374120957</v>
      </c>
      <c r="M74">
        <v>1.1375999999999999</v>
      </c>
      <c r="N74" t="s">
        <v>29</v>
      </c>
      <c r="O74" t="s">
        <v>41</v>
      </c>
      <c r="Q74">
        <v>17.02</v>
      </c>
      <c r="R74" s="11">
        <v>0.56000000000000005</v>
      </c>
      <c r="S74" s="3">
        <v>46045</v>
      </c>
      <c r="T74" s="15" t="s">
        <v>103</v>
      </c>
    </row>
    <row r="75" spans="1:20" x14ac:dyDescent="0.3">
      <c r="A75" s="3">
        <v>46045</v>
      </c>
      <c r="B75" t="s">
        <v>88</v>
      </c>
      <c r="C75" t="s">
        <v>87</v>
      </c>
      <c r="D75">
        <v>109.35101951</v>
      </c>
      <c r="F75" t="s">
        <v>16</v>
      </c>
      <c r="G75" t="s">
        <v>17</v>
      </c>
      <c r="H75">
        <f>J75/D75</f>
        <v>4.5610000001361666</v>
      </c>
      <c r="J75">
        <v>498.75</v>
      </c>
      <c r="L75">
        <v>1.25</v>
      </c>
      <c r="N75" t="s">
        <v>30</v>
      </c>
      <c r="O75" t="s">
        <v>41</v>
      </c>
      <c r="P75">
        <v>8.59</v>
      </c>
      <c r="R75" s="12">
        <v>0.69799999999999995</v>
      </c>
      <c r="S75" s="3">
        <v>46045</v>
      </c>
      <c r="T75" s="15" t="s">
        <v>103</v>
      </c>
    </row>
    <row r="76" spans="1:20" x14ac:dyDescent="0.3">
      <c r="A76" s="3">
        <v>46045</v>
      </c>
      <c r="B76" t="s">
        <v>90</v>
      </c>
      <c r="C76" t="s">
        <v>89</v>
      </c>
      <c r="D76">
        <v>33.6449468</v>
      </c>
      <c r="F76" t="s">
        <v>16</v>
      </c>
      <c r="G76" t="s">
        <v>17</v>
      </c>
      <c r="H76">
        <f>J76/D76</f>
        <v>15.040000003804435</v>
      </c>
      <c r="J76">
        <v>506.02</v>
      </c>
      <c r="L76">
        <v>1.27</v>
      </c>
      <c r="N76" t="s">
        <v>30</v>
      </c>
      <c r="O76" t="s">
        <v>41</v>
      </c>
      <c r="P76">
        <v>22.19</v>
      </c>
      <c r="R76" s="11">
        <v>0.53</v>
      </c>
      <c r="S76" s="3">
        <v>46045</v>
      </c>
      <c r="T76" s="15" t="s">
        <v>103</v>
      </c>
    </row>
    <row r="77" spans="1:20" x14ac:dyDescent="0.3">
      <c r="A77" s="3">
        <v>46045</v>
      </c>
      <c r="B77" t="s">
        <v>94</v>
      </c>
      <c r="C77" t="s">
        <v>95</v>
      </c>
      <c r="D77">
        <v>8</v>
      </c>
      <c r="F77" t="s">
        <v>16</v>
      </c>
      <c r="G77" s="2" t="s">
        <v>19</v>
      </c>
      <c r="H77">
        <f>I77/M77</f>
        <v>52.900686008455729</v>
      </c>
      <c r="I77">
        <f>K77/D77</f>
        <v>45.42</v>
      </c>
      <c r="J77">
        <f>K77/M77</f>
        <v>423.20548806764583</v>
      </c>
      <c r="K77">
        <v>363.36</v>
      </c>
      <c r="L77">
        <f>(3.5+1.82)*M77</f>
        <v>4.5676987999999996</v>
      </c>
      <c r="M77">
        <v>0.85858999999999996</v>
      </c>
      <c r="N77" t="s">
        <v>58</v>
      </c>
      <c r="O77" t="s">
        <v>41</v>
      </c>
      <c r="Q77">
        <v>55.77</v>
      </c>
      <c r="R77" s="12">
        <v>0.22700000000000001</v>
      </c>
      <c r="S77" s="3">
        <v>46045</v>
      </c>
      <c r="T77" s="15" t="s">
        <v>103</v>
      </c>
    </row>
    <row r="78" spans="1:20" x14ac:dyDescent="0.3">
      <c r="A78" s="3">
        <v>46045</v>
      </c>
      <c r="B78" t="s">
        <v>67</v>
      </c>
      <c r="C78" t="s">
        <v>67</v>
      </c>
      <c r="D78">
        <v>8.4576070899999998</v>
      </c>
      <c r="F78" t="s">
        <v>16</v>
      </c>
      <c r="G78" t="s">
        <v>17</v>
      </c>
      <c r="H78">
        <f>I78/M78</f>
        <v>59.511251758087205</v>
      </c>
      <c r="I78">
        <v>67.7</v>
      </c>
      <c r="J78">
        <f>K78/M78</f>
        <v>503.30520393811531</v>
      </c>
      <c r="K78">
        <v>572.55999999999995</v>
      </c>
      <c r="L78">
        <f>1.43/M78</f>
        <v>1.2570323488045008</v>
      </c>
      <c r="M78">
        <v>1.1375999999999999</v>
      </c>
      <c r="N78" t="s">
        <v>29</v>
      </c>
      <c r="O78" t="s">
        <v>41</v>
      </c>
      <c r="Q78">
        <v>92.76</v>
      </c>
      <c r="R78" s="12">
        <v>0.371</v>
      </c>
      <c r="S78" s="3">
        <v>46045</v>
      </c>
      <c r="T78" s="15" t="s">
        <v>103</v>
      </c>
    </row>
    <row r="79" spans="1:20" x14ac:dyDescent="0.3">
      <c r="A79" s="3">
        <v>46050</v>
      </c>
      <c r="B79" t="s">
        <v>80</v>
      </c>
      <c r="C79" t="s">
        <v>78</v>
      </c>
      <c r="D79">
        <v>6.5421394299999998</v>
      </c>
      <c r="F79" t="s">
        <v>16</v>
      </c>
      <c r="G79" t="s">
        <v>17</v>
      </c>
      <c r="H79">
        <f>I79/M79</f>
        <v>118.10589610823449</v>
      </c>
      <c r="I79">
        <v>141.41999999999999</v>
      </c>
      <c r="J79">
        <f>K79/M79</f>
        <v>772.66577584767003</v>
      </c>
      <c r="K79">
        <v>925.19</v>
      </c>
      <c r="L79">
        <f>2.32/M79</f>
        <v>1.937531317855353</v>
      </c>
      <c r="M79">
        <v>1.1974</v>
      </c>
      <c r="N79" t="s">
        <v>29</v>
      </c>
      <c r="O79" s="6" t="s">
        <v>42</v>
      </c>
    </row>
    <row r="80" spans="1:20" x14ac:dyDescent="0.3">
      <c r="A80" s="3">
        <v>46050</v>
      </c>
      <c r="B80" t="s">
        <v>98</v>
      </c>
      <c r="C80" t="s">
        <v>98</v>
      </c>
      <c r="D80">
        <v>15.148136920000001</v>
      </c>
      <c r="F80" t="s">
        <v>16</v>
      </c>
      <c r="G80" t="s">
        <v>17</v>
      </c>
      <c r="H80">
        <f>I80/M80</f>
        <v>27.56806413896776</v>
      </c>
      <c r="I80">
        <v>33.01</v>
      </c>
      <c r="J80">
        <f>K80/M80</f>
        <v>417.57140471020546</v>
      </c>
      <c r="K80">
        <v>500</v>
      </c>
      <c r="L80">
        <f>1.25/M80</f>
        <v>1.0439285117755135</v>
      </c>
      <c r="M80">
        <v>1.1974</v>
      </c>
      <c r="N80" t="s">
        <v>29</v>
      </c>
      <c r="O80" t="s">
        <v>41</v>
      </c>
      <c r="Q80">
        <v>42.15</v>
      </c>
      <c r="R80" s="12">
        <v>0.30059999999999998</v>
      </c>
      <c r="S80" s="3">
        <v>46052</v>
      </c>
      <c r="T80" t="s">
        <v>96</v>
      </c>
    </row>
    <row r="81" spans="1:20" x14ac:dyDescent="0.3">
      <c r="A81" s="3">
        <v>46054</v>
      </c>
      <c r="B81" t="s">
        <v>7</v>
      </c>
      <c r="C81" t="s">
        <v>34</v>
      </c>
      <c r="D81">
        <v>12</v>
      </c>
      <c r="F81" t="s">
        <v>74</v>
      </c>
      <c r="G81" s="2" t="s">
        <v>19</v>
      </c>
      <c r="H81">
        <v>111.48</v>
      </c>
      <c r="J81">
        <f>H81*D81</f>
        <v>1337.76</v>
      </c>
      <c r="L81">
        <v>6.5</v>
      </c>
      <c r="N81" t="s">
        <v>30</v>
      </c>
      <c r="O81" t="s">
        <v>41</v>
      </c>
    </row>
    <row r="82" spans="1:20" x14ac:dyDescent="0.3">
      <c r="A82" s="3">
        <v>46056</v>
      </c>
      <c r="B82" t="s">
        <v>67</v>
      </c>
      <c r="C82" t="s">
        <v>67</v>
      </c>
      <c r="D82">
        <f>D56+D78</f>
        <v>10.701424939999999</v>
      </c>
      <c r="F82" t="s">
        <v>16</v>
      </c>
      <c r="G82" t="s">
        <v>17</v>
      </c>
      <c r="H82">
        <f>I82/M82</f>
        <v>47.843403101432088</v>
      </c>
      <c r="I82">
        <v>56.46</v>
      </c>
      <c r="J82">
        <f>K82/M82</f>
        <v>512.56673163291248</v>
      </c>
      <c r="K82">
        <v>604.88</v>
      </c>
      <c r="L82">
        <f>1.2/M82</f>
        <v>1.016862977713753</v>
      </c>
      <c r="M82">
        <v>1.1800999999999999</v>
      </c>
      <c r="N82" t="s">
        <v>29</v>
      </c>
      <c r="O82" s="6" t="s">
        <v>42</v>
      </c>
    </row>
    <row r="83" spans="1:20" x14ac:dyDescent="0.3">
      <c r="A83" s="3">
        <v>46056</v>
      </c>
      <c r="B83" t="s">
        <v>81</v>
      </c>
      <c r="C83" t="s">
        <v>79</v>
      </c>
      <c r="D83">
        <f>D74</f>
        <v>91.783486229999994</v>
      </c>
      <c r="F83" t="s">
        <v>16</v>
      </c>
      <c r="G83" t="s">
        <v>17</v>
      </c>
      <c r="H83">
        <f>I83/M83</f>
        <v>8.338276417252775</v>
      </c>
      <c r="I83">
        <v>9.84</v>
      </c>
      <c r="J83">
        <f>K83/M83</f>
        <v>765.42665875773241</v>
      </c>
      <c r="K83">
        <v>903.28</v>
      </c>
      <c r="L83">
        <f>2.28/M83</f>
        <v>1.9320396576561307</v>
      </c>
      <c r="M83">
        <v>1.1800999999999999</v>
      </c>
      <c r="N83" t="s">
        <v>29</v>
      </c>
      <c r="O83" s="6" t="s">
        <v>42</v>
      </c>
    </row>
    <row r="84" spans="1:20" x14ac:dyDescent="0.3">
      <c r="A84" s="3">
        <v>46056</v>
      </c>
      <c r="B84" t="s">
        <v>27</v>
      </c>
      <c r="C84" t="s">
        <v>28</v>
      </c>
      <c r="D84">
        <f>D52-D61-D71</f>
        <v>0.11322802999999999</v>
      </c>
      <c r="F84" t="s">
        <v>16</v>
      </c>
      <c r="G84" t="s">
        <v>17</v>
      </c>
      <c r="H84">
        <f>I84/M84</f>
        <v>3913.8462842132021</v>
      </c>
      <c r="I84">
        <v>4618.7299999999996</v>
      </c>
      <c r="J84">
        <f>K84/M84</f>
        <v>443.15735954580123</v>
      </c>
      <c r="K84">
        <v>522.97</v>
      </c>
      <c r="L84">
        <f>1.32/M84</f>
        <v>1.1185492754851285</v>
      </c>
      <c r="M84">
        <v>1.1800999999999999</v>
      </c>
      <c r="N84" t="s">
        <v>29</v>
      </c>
      <c r="O84" s="6" t="s">
        <v>42</v>
      </c>
    </row>
    <row r="85" spans="1:20" x14ac:dyDescent="0.3">
      <c r="A85" s="3">
        <v>46063</v>
      </c>
      <c r="B85" t="s">
        <v>88</v>
      </c>
      <c r="C85" t="s">
        <v>87</v>
      </c>
      <c r="D85">
        <v>109.35101951</v>
      </c>
      <c r="F85" t="s">
        <v>16</v>
      </c>
      <c r="G85" t="s">
        <v>17</v>
      </c>
      <c r="H85">
        <v>4.6100000000000003</v>
      </c>
      <c r="J85">
        <v>503.89</v>
      </c>
      <c r="L85">
        <v>1.26</v>
      </c>
      <c r="N85" t="s">
        <v>30</v>
      </c>
      <c r="O85" s="6" t="s">
        <v>42</v>
      </c>
    </row>
    <row r="86" spans="1:20" x14ac:dyDescent="0.3">
      <c r="A86" s="3">
        <v>46064</v>
      </c>
      <c r="B86" t="s">
        <v>90</v>
      </c>
      <c r="C86" t="s">
        <v>89</v>
      </c>
      <c r="D86">
        <v>33.6449468</v>
      </c>
      <c r="F86" t="s">
        <v>16</v>
      </c>
      <c r="G86" t="s">
        <v>17</v>
      </c>
      <c r="H86">
        <v>15.54</v>
      </c>
      <c r="J86">
        <v>522.84</v>
      </c>
      <c r="L86">
        <v>1.31</v>
      </c>
      <c r="N86" t="s">
        <v>30</v>
      </c>
      <c r="O86" s="6" t="s">
        <v>42</v>
      </c>
    </row>
    <row r="87" spans="1:20" x14ac:dyDescent="0.3">
      <c r="A87" s="3">
        <v>46072</v>
      </c>
      <c r="B87" t="s">
        <v>27</v>
      </c>
      <c r="C87" t="s">
        <v>28</v>
      </c>
      <c r="D87">
        <v>0.12231876999999999</v>
      </c>
      <c r="F87" t="s">
        <v>16</v>
      </c>
      <c r="G87" t="s">
        <v>17</v>
      </c>
      <c r="H87">
        <f>I87/M87</f>
        <v>3477.9885986556624</v>
      </c>
      <c r="I87">
        <v>4087.68</v>
      </c>
      <c r="J87">
        <f>K87/M87</f>
        <v>425.42329617969881</v>
      </c>
      <c r="K87">
        <v>500</v>
      </c>
      <c r="L87">
        <v>0</v>
      </c>
      <c r="M87">
        <v>1.1753</v>
      </c>
      <c r="N87" t="s">
        <v>29</v>
      </c>
      <c r="O87" t="s">
        <v>41</v>
      </c>
    </row>
    <row r="88" spans="1:20" x14ac:dyDescent="0.3">
      <c r="A88" s="3">
        <v>46076</v>
      </c>
      <c r="B88" t="s">
        <v>27</v>
      </c>
      <c r="C88" t="s">
        <v>28</v>
      </c>
      <c r="D88">
        <v>0.12231876999999999</v>
      </c>
      <c r="F88" t="s">
        <v>16</v>
      </c>
      <c r="G88" t="s">
        <v>17</v>
      </c>
      <c r="H88">
        <f>I88/M88</f>
        <v>3250.9080108621861</v>
      </c>
      <c r="I88">
        <v>3830.87</v>
      </c>
      <c r="J88">
        <f>K88/M88</f>
        <v>397.64935505770541</v>
      </c>
      <c r="K88">
        <v>468.59</v>
      </c>
      <c r="L88">
        <v>0</v>
      </c>
      <c r="M88">
        <v>1.1783999999999999</v>
      </c>
      <c r="N88" t="s">
        <v>29</v>
      </c>
      <c r="O88" s="6" t="s">
        <v>42</v>
      </c>
    </row>
    <row r="89" spans="1:20" x14ac:dyDescent="0.3">
      <c r="A89" s="3">
        <v>46085</v>
      </c>
      <c r="B89" t="s">
        <v>94</v>
      </c>
      <c r="C89" t="s">
        <v>95</v>
      </c>
      <c r="D89">
        <v>8</v>
      </c>
      <c r="F89" t="s">
        <v>16</v>
      </c>
      <c r="G89" s="2" t="s">
        <v>19</v>
      </c>
      <c r="H89">
        <f>I89/M89</f>
        <v>45.76680068925905</v>
      </c>
      <c r="I89">
        <v>39.840000000000003</v>
      </c>
      <c r="J89">
        <f>K89/M89</f>
        <v>362.15967834577827</v>
      </c>
      <c r="K89">
        <v>315.26</v>
      </c>
      <c r="M89">
        <v>0.87050000000000005</v>
      </c>
      <c r="N89" t="s">
        <v>58</v>
      </c>
      <c r="O89" s="6" t="s">
        <v>42</v>
      </c>
    </row>
    <row r="90" spans="1:20" x14ac:dyDescent="0.3">
      <c r="A90" s="3">
        <v>46085</v>
      </c>
      <c r="B90" t="s">
        <v>75</v>
      </c>
      <c r="C90" t="s">
        <v>76</v>
      </c>
      <c r="D90">
        <v>120</v>
      </c>
      <c r="F90" t="s">
        <v>16</v>
      </c>
      <c r="G90" s="2" t="s">
        <v>19</v>
      </c>
      <c r="H90">
        <f>J90/D90</f>
        <v>2.6917480375263256</v>
      </c>
      <c r="J90">
        <f>K90/M90</f>
        <v>323.00976450315909</v>
      </c>
      <c r="K90">
        <v>281.18</v>
      </c>
      <c r="M90">
        <v>0.87050000000000005</v>
      </c>
      <c r="N90" t="s">
        <v>58</v>
      </c>
      <c r="O90" s="6" t="s">
        <v>42</v>
      </c>
    </row>
    <row r="91" spans="1:20" x14ac:dyDescent="0.3">
      <c r="A91" s="3">
        <v>46090</v>
      </c>
      <c r="B91" t="s">
        <v>98</v>
      </c>
      <c r="C91" t="s">
        <v>98</v>
      </c>
      <c r="D91">
        <v>15.148136920000001</v>
      </c>
      <c r="F91" t="s">
        <v>16</v>
      </c>
      <c r="G91" t="s">
        <v>17</v>
      </c>
      <c r="H91">
        <f>I91/M91</f>
        <v>26.715707485936825</v>
      </c>
      <c r="I91">
        <v>30.87</v>
      </c>
      <c r="J91">
        <f>K91/M91</f>
        <v>404.72522717438341</v>
      </c>
      <c r="K91">
        <v>467.66</v>
      </c>
      <c r="L91">
        <f>0.01/M91</f>
        <v>8.6542622241453926E-3</v>
      </c>
      <c r="M91">
        <v>1.1555</v>
      </c>
      <c r="N91" t="s">
        <v>29</v>
      </c>
      <c r="O91" s="6" t="s">
        <v>42</v>
      </c>
    </row>
    <row r="92" spans="1:20" x14ac:dyDescent="0.3">
      <c r="A92" s="3">
        <v>46093</v>
      </c>
      <c r="B92" t="s">
        <v>101</v>
      </c>
      <c r="C92" t="s">
        <v>102</v>
      </c>
      <c r="D92">
        <v>45.416058390000003</v>
      </c>
      <c r="F92" t="s">
        <v>16</v>
      </c>
      <c r="G92" t="s">
        <v>17</v>
      </c>
      <c r="H92">
        <v>21.92</v>
      </c>
      <c r="J92">
        <v>995.52</v>
      </c>
      <c r="L92">
        <v>4.4800000000000004</v>
      </c>
      <c r="N92" t="s">
        <v>30</v>
      </c>
      <c r="O92" t="s">
        <v>41</v>
      </c>
      <c r="Q92" s="14">
        <v>26.96</v>
      </c>
      <c r="R92" s="16">
        <v>0.28299999999999997</v>
      </c>
      <c r="S92" s="3">
        <v>46093</v>
      </c>
      <c r="T92" s="15" t="s">
        <v>103</v>
      </c>
    </row>
    <row r="93" spans="1:20" x14ac:dyDescent="0.3">
      <c r="A93" s="3">
        <v>46097</v>
      </c>
      <c r="B93" t="s">
        <v>106</v>
      </c>
      <c r="C93" t="s">
        <v>105</v>
      </c>
      <c r="D93">
        <v>12.503133610000001</v>
      </c>
      <c r="F93" t="s">
        <v>16</v>
      </c>
      <c r="G93" t="s">
        <v>17</v>
      </c>
      <c r="H93">
        <v>39.89</v>
      </c>
      <c r="J93">
        <v>498.75</v>
      </c>
      <c r="L93">
        <v>1.25</v>
      </c>
      <c r="N93" t="s">
        <v>30</v>
      </c>
      <c r="O93" t="s">
        <v>41</v>
      </c>
      <c r="Q93" s="14">
        <v>58.31</v>
      </c>
      <c r="R93" s="16">
        <v>0.46300000000000002</v>
      </c>
      <c r="S93" s="3">
        <v>46097</v>
      </c>
      <c r="T93" t="s">
        <v>96</v>
      </c>
    </row>
    <row r="94" spans="1:20" x14ac:dyDescent="0.3">
      <c r="A94" s="3">
        <v>46098</v>
      </c>
      <c r="B94" t="s">
        <v>66</v>
      </c>
      <c r="C94" t="s">
        <v>65</v>
      </c>
      <c r="D94">
        <v>1.1086474500000001</v>
      </c>
      <c r="F94" t="s">
        <v>16</v>
      </c>
      <c r="G94" t="s">
        <v>17</v>
      </c>
      <c r="H94">
        <f t="shared" ref="H94:H95" si="0">I94/M94</f>
        <v>391.11959066863238</v>
      </c>
      <c r="I94">
        <v>451</v>
      </c>
      <c r="J94">
        <f>K94/M94</f>
        <v>433.61373688318446</v>
      </c>
      <c r="K94">
        <v>500</v>
      </c>
      <c r="L94">
        <f>1.25/M94</f>
        <v>1.0840343422079612</v>
      </c>
      <c r="M94">
        <v>1.1531</v>
      </c>
      <c r="N94" t="s">
        <v>29</v>
      </c>
      <c r="O94" t="s">
        <v>41</v>
      </c>
      <c r="Q94" s="15">
        <v>452.31</v>
      </c>
      <c r="R94" s="16">
        <v>0.40699999999999997</v>
      </c>
      <c r="S94" s="3">
        <v>46098</v>
      </c>
      <c r="T94" s="15" t="s">
        <v>103</v>
      </c>
    </row>
    <row r="95" spans="1:20" x14ac:dyDescent="0.3">
      <c r="A95" s="3">
        <v>46098</v>
      </c>
      <c r="B95" t="s">
        <v>108</v>
      </c>
      <c r="C95" t="s">
        <v>107</v>
      </c>
      <c r="D95">
        <v>1.39758497</v>
      </c>
      <c r="F95" t="s">
        <v>16</v>
      </c>
      <c r="G95" t="s">
        <v>17</v>
      </c>
      <c r="H95">
        <f t="shared" si="0"/>
        <v>310.25930101465616</v>
      </c>
      <c r="I95">
        <v>357.76</v>
      </c>
      <c r="J95">
        <f>K95/M95</f>
        <v>433.61373688318446</v>
      </c>
      <c r="K95">
        <v>500</v>
      </c>
      <c r="L95">
        <f>1.25/M95</f>
        <v>1.0840343422079612</v>
      </c>
      <c r="M95">
        <v>1.1531</v>
      </c>
      <c r="N95" t="s">
        <v>29</v>
      </c>
      <c r="O95" t="s">
        <v>41</v>
      </c>
      <c r="Q95" s="15">
        <v>352.2</v>
      </c>
      <c r="R95" s="16">
        <v>0.308</v>
      </c>
      <c r="S95" s="3">
        <v>46098</v>
      </c>
      <c r="T95" s="15" t="s">
        <v>103</v>
      </c>
    </row>
    <row r="96" spans="1:20" x14ac:dyDescent="0.3">
      <c r="A96" s="3">
        <v>46098</v>
      </c>
      <c r="B96" t="s">
        <v>110</v>
      </c>
      <c r="C96" t="s">
        <v>109</v>
      </c>
      <c r="D96">
        <v>21.070375049999999</v>
      </c>
      <c r="F96" t="s">
        <v>16</v>
      </c>
      <c r="G96" t="s">
        <v>17</v>
      </c>
      <c r="H96">
        <v>23.73</v>
      </c>
      <c r="J96">
        <v>500</v>
      </c>
      <c r="M96">
        <v>1.25</v>
      </c>
      <c r="N96" t="s">
        <v>30</v>
      </c>
      <c r="O96" t="s">
        <v>41</v>
      </c>
      <c r="Q96" s="14">
        <v>35.56</v>
      </c>
      <c r="R96" s="16">
        <v>0.498</v>
      </c>
      <c r="S96" s="3">
        <v>46098</v>
      </c>
      <c r="T96" s="15" t="s">
        <v>103</v>
      </c>
    </row>
    <row r="97" spans="1:20" x14ac:dyDescent="0.3">
      <c r="A97" s="3">
        <v>46100</v>
      </c>
      <c r="B97" t="s">
        <v>112</v>
      </c>
      <c r="C97" s="10" t="s">
        <v>111</v>
      </c>
      <c r="D97">
        <v>10.052271810000001</v>
      </c>
      <c r="F97" t="s">
        <v>16</v>
      </c>
      <c r="G97" t="s">
        <v>17</v>
      </c>
      <c r="H97">
        <v>49.74</v>
      </c>
      <c r="J97">
        <v>500</v>
      </c>
      <c r="L97">
        <v>2</v>
      </c>
      <c r="N97" t="s">
        <v>30</v>
      </c>
      <c r="O97" t="s">
        <v>41</v>
      </c>
    </row>
    <row r="98" spans="1:20" x14ac:dyDescent="0.3">
      <c r="A98" s="3">
        <v>46101</v>
      </c>
      <c r="B98" t="s">
        <v>106</v>
      </c>
      <c r="C98" t="s">
        <v>105</v>
      </c>
      <c r="D98">
        <v>12.503133610000001</v>
      </c>
      <c r="F98" t="s">
        <v>16</v>
      </c>
      <c r="G98" t="s">
        <v>17</v>
      </c>
      <c r="H98">
        <v>38.22</v>
      </c>
      <c r="J98">
        <v>477.87</v>
      </c>
      <c r="L98">
        <v>0</v>
      </c>
      <c r="N98" t="s">
        <v>30</v>
      </c>
      <c r="O98" s="6" t="s">
        <v>42</v>
      </c>
    </row>
    <row r="99" spans="1:20" x14ac:dyDescent="0.3">
      <c r="A99" s="3">
        <v>46104</v>
      </c>
      <c r="B99" t="s">
        <v>70</v>
      </c>
      <c r="C99" s="2" t="s">
        <v>69</v>
      </c>
      <c r="D99">
        <v>10.80592699</v>
      </c>
      <c r="F99" t="s">
        <v>16</v>
      </c>
      <c r="G99" t="s">
        <v>17</v>
      </c>
      <c r="H99" s="19">
        <v>31.21</v>
      </c>
      <c r="I99" s="19"/>
      <c r="J99" s="19">
        <v>337.25</v>
      </c>
      <c r="L99">
        <v>1</v>
      </c>
      <c r="N99" t="s">
        <v>30</v>
      </c>
      <c r="O99" s="6" t="s">
        <v>42</v>
      </c>
    </row>
    <row r="100" spans="1:20" x14ac:dyDescent="0.3">
      <c r="A100" s="3">
        <v>46104</v>
      </c>
      <c r="B100" t="s">
        <v>112</v>
      </c>
      <c r="C100" s="10" t="s">
        <v>111</v>
      </c>
      <c r="D100">
        <v>10.052271810000001</v>
      </c>
      <c r="F100" t="s">
        <v>16</v>
      </c>
      <c r="G100" t="s">
        <v>17</v>
      </c>
      <c r="H100">
        <v>47.64</v>
      </c>
      <c r="J100">
        <v>478.89</v>
      </c>
      <c r="L100">
        <v>0</v>
      </c>
      <c r="N100" t="s">
        <v>30</v>
      </c>
      <c r="O100" s="6" t="s">
        <v>42</v>
      </c>
    </row>
    <row r="101" spans="1:20" x14ac:dyDescent="0.3">
      <c r="A101" s="3">
        <v>46104</v>
      </c>
      <c r="B101" t="s">
        <v>101</v>
      </c>
      <c r="C101" t="s">
        <v>102</v>
      </c>
      <c r="D101">
        <v>45.416058390000003</v>
      </c>
      <c r="F101" t="s">
        <v>16</v>
      </c>
      <c r="G101" t="s">
        <v>17</v>
      </c>
      <c r="H101">
        <v>22.33</v>
      </c>
      <c r="J101">
        <v>1014.14</v>
      </c>
      <c r="L101">
        <v>2.54</v>
      </c>
      <c r="N101" t="s">
        <v>30</v>
      </c>
      <c r="O101" s="6" t="s">
        <v>42</v>
      </c>
    </row>
    <row r="102" spans="1:20" x14ac:dyDescent="0.3">
      <c r="A102" s="3">
        <v>46106</v>
      </c>
      <c r="B102" s="18" t="s">
        <v>114</v>
      </c>
      <c r="C102" t="s">
        <v>115</v>
      </c>
      <c r="D102">
        <v>33.557046970000002</v>
      </c>
      <c r="F102" t="s">
        <v>16</v>
      </c>
      <c r="G102" t="s">
        <v>17</v>
      </c>
      <c r="H102">
        <v>14.9</v>
      </c>
      <c r="J102">
        <v>500</v>
      </c>
      <c r="L102">
        <v>1.25</v>
      </c>
      <c r="N102" t="s">
        <v>30</v>
      </c>
      <c r="O102" t="s">
        <v>41</v>
      </c>
      <c r="Q102" s="14">
        <v>16.940000000000001</v>
      </c>
      <c r="R102" s="16">
        <v>0.127</v>
      </c>
      <c r="T102" s="15" t="s">
        <v>103</v>
      </c>
    </row>
    <row r="103" spans="1:20" x14ac:dyDescent="0.3">
      <c r="A103" s="3">
        <v>46106</v>
      </c>
      <c r="B103" s="18" t="s">
        <v>113</v>
      </c>
      <c r="C103" t="s">
        <v>116</v>
      </c>
      <c r="D103">
        <v>52.868826339999998</v>
      </c>
      <c r="F103" t="s">
        <v>16</v>
      </c>
      <c r="G103" t="s">
        <v>17</v>
      </c>
      <c r="H103">
        <v>9.42</v>
      </c>
      <c r="J103">
        <v>497.76</v>
      </c>
      <c r="L103">
        <v>2.2400000000000002</v>
      </c>
      <c r="N103" t="s">
        <v>30</v>
      </c>
      <c r="O103" t="s">
        <v>41</v>
      </c>
    </row>
    <row r="104" spans="1:20" x14ac:dyDescent="0.3">
      <c r="A104" s="3">
        <v>46106</v>
      </c>
      <c r="B104" t="s">
        <v>5</v>
      </c>
      <c r="C104" t="s">
        <v>26</v>
      </c>
      <c r="D104">
        <v>7.6923076899999998</v>
      </c>
      <c r="F104" t="s">
        <v>16</v>
      </c>
      <c r="G104" t="s">
        <v>17</v>
      </c>
      <c r="H104">
        <v>130</v>
      </c>
      <c r="J104">
        <v>1000</v>
      </c>
      <c r="L104">
        <v>2.5</v>
      </c>
      <c r="N104" t="s">
        <v>30</v>
      </c>
      <c r="O104" t="s">
        <v>41</v>
      </c>
    </row>
    <row r="105" spans="1:20" x14ac:dyDescent="0.3">
      <c r="A105" s="3">
        <v>46108</v>
      </c>
      <c r="B105" t="s">
        <v>110</v>
      </c>
      <c r="C105" t="s">
        <v>109</v>
      </c>
      <c r="D105">
        <v>21.070375049999999</v>
      </c>
      <c r="F105" t="s">
        <v>16</v>
      </c>
      <c r="G105" t="s">
        <v>17</v>
      </c>
      <c r="H105">
        <v>20.73</v>
      </c>
      <c r="J105">
        <v>436.79</v>
      </c>
      <c r="L105">
        <v>1.0900000000000001</v>
      </c>
      <c r="N105" t="s">
        <v>30</v>
      </c>
      <c r="O105" s="6" t="s">
        <v>42</v>
      </c>
    </row>
    <row r="106" spans="1:20" x14ac:dyDescent="0.3">
      <c r="A106" s="3">
        <v>46108</v>
      </c>
      <c r="B106" t="s">
        <v>5</v>
      </c>
      <c r="C106" t="s">
        <v>26</v>
      </c>
      <c r="D106">
        <v>7.6923076899999998</v>
      </c>
      <c r="F106" t="s">
        <v>16</v>
      </c>
      <c r="G106" t="s">
        <v>17</v>
      </c>
      <c r="H106">
        <v>126.1</v>
      </c>
      <c r="J106">
        <v>970</v>
      </c>
      <c r="L106">
        <v>2.42</v>
      </c>
      <c r="N106" t="s">
        <v>30</v>
      </c>
      <c r="O106" s="6" t="s">
        <v>42</v>
      </c>
    </row>
    <row r="107" spans="1:20" x14ac:dyDescent="0.3">
      <c r="A107" s="3">
        <v>46108</v>
      </c>
      <c r="B107" t="s">
        <v>108</v>
      </c>
      <c r="C107" t="s">
        <v>107</v>
      </c>
      <c r="D107">
        <v>1.39758497</v>
      </c>
      <c r="F107" t="s">
        <v>16</v>
      </c>
      <c r="G107" t="s">
        <v>17</v>
      </c>
      <c r="H107" s="7">
        <f t="shared" ref="H107" si="1">I107/M107</f>
        <v>301.37793569633419</v>
      </c>
      <c r="I107">
        <v>347.76</v>
      </c>
      <c r="J107" s="7">
        <f>K107/M107</f>
        <v>426.21544327931366</v>
      </c>
      <c r="K107">
        <v>491.81</v>
      </c>
      <c r="L107">
        <f>1.24/M107</f>
        <v>1.0746165178958316</v>
      </c>
      <c r="M107">
        <v>1.1538999999999999</v>
      </c>
      <c r="N107" t="s">
        <v>29</v>
      </c>
      <c r="O107" s="6" t="s">
        <v>42</v>
      </c>
    </row>
  </sheetData>
  <autoFilter ref="A1:M107" xr:uid="{5E09A18B-ADDB-46AF-9CD2-AF496BA93A46}"/>
  <hyperlinks>
    <hyperlink ref="U1" r:id="rId1" display="https://www.ecb.europa.eu/stats/policy_and_exchange_rates/euro_reference_exchange_rates/html/eurofxref-graph-usd.en.html" xr:uid="{1D3EFCC8-E459-454F-8A9D-8517EAC17B7B}"/>
    <hyperlink ref="V1" r:id="rId2" display="https://www.ecb.europa.eu/stats/policy_and_exchange_rates/euro_reference_exchange_rates/html/eurofxref-graph-gbp.en.html" xr:uid="{7FD5EB64-A6A2-46E1-A92F-970008DF62FC}"/>
    <hyperlink ref="X1" r:id="rId3" xr:uid="{14FA0684-84D1-44A1-A986-A1EC55F966A8}"/>
    <hyperlink ref="C97" r:id="rId4" display="https://finance.yahoo.com/quote/EN.PA" xr:uid="{282E8F14-723C-448F-8C28-85AE54BF8113}"/>
    <hyperlink ref="C100" r:id="rId5" display="https://finance.yahoo.com/quote/EN.PA" xr:uid="{F34AC7CD-A4C1-478D-A824-4F270F04FC61}"/>
    <hyperlink ref="C102" r:id="rId6" display="https://finance.yahoo.com/quote/EVK.DE" xr:uid="{E6C488B1-01F7-4AE8-B033-B43BE0E0640F}"/>
    <hyperlink ref="C103" r:id="rId7" display="https://finance.yahoo.com/quote/MEL.MC" xr:uid="{A1E33B45-F06B-4D23-BEC2-2E1EA25EFF29}"/>
  </hyperlinks>
  <pageMargins left="0.7" right="0.7" top="0.75" bottom="0.75" header="0.3" footer="0.3"/>
  <pageSetup paperSize="9" orientation="portrait" r:id="rId8"/>
  <customProperties>
    <customPr name="QAA_DRILLPATH_NODE_ID" r:id="rId9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B36C6-4A47-4E81-8B15-25CD3446FD0A}">
  <sheetPr codeName="Sheet2"/>
  <dimension ref="A1:M44"/>
  <sheetViews>
    <sheetView workbookViewId="0">
      <pane ySplit="1" topLeftCell="A16" activePane="bottomLeft" state="frozen"/>
      <selection pane="bottomLeft" activeCell="B42" sqref="B42:B44"/>
    </sheetView>
  </sheetViews>
  <sheetFormatPr defaultRowHeight="14.4" x14ac:dyDescent="0.3"/>
  <cols>
    <col min="1" max="1" width="10.33203125" bestFit="1" customWidth="1"/>
    <col min="6" max="6" width="22.6640625" customWidth="1"/>
    <col min="7" max="7" width="16.77734375" customWidth="1"/>
    <col min="12" max="12" width="13.21875" customWidth="1"/>
    <col min="13" max="13" width="13.6640625" customWidth="1"/>
  </cols>
  <sheetData>
    <row r="1" spans="1:13" x14ac:dyDescent="0.3">
      <c r="A1" s="8" t="s">
        <v>0</v>
      </c>
      <c r="B1" s="8" t="s">
        <v>53</v>
      </c>
      <c r="C1" s="8" t="s">
        <v>54</v>
      </c>
      <c r="D1" s="8" t="s">
        <v>31</v>
      </c>
      <c r="E1" s="8" t="s">
        <v>55</v>
      </c>
      <c r="F1" s="8" t="s">
        <v>56</v>
      </c>
      <c r="G1" s="8" t="s">
        <v>85</v>
      </c>
      <c r="H1" s="8" t="s">
        <v>86</v>
      </c>
      <c r="J1" s="8" t="s">
        <v>31</v>
      </c>
      <c r="K1" s="8" t="s">
        <v>99</v>
      </c>
      <c r="L1" t="s">
        <v>62</v>
      </c>
      <c r="M1" t="s">
        <v>100</v>
      </c>
    </row>
    <row r="2" spans="1:13" x14ac:dyDescent="0.3">
      <c r="A2" s="3">
        <v>45509</v>
      </c>
      <c r="B2">
        <v>100</v>
      </c>
      <c r="D2" t="s">
        <v>61</v>
      </c>
      <c r="J2" t="s">
        <v>61</v>
      </c>
      <c r="K2">
        <f>SUMIF(D:D,J2,B:B)</f>
        <v>13899.62</v>
      </c>
      <c r="M2">
        <f>K2</f>
        <v>13899.62</v>
      </c>
    </row>
    <row r="3" spans="1:13" x14ac:dyDescent="0.3">
      <c r="A3" s="3">
        <v>45516</v>
      </c>
      <c r="B3">
        <v>50</v>
      </c>
      <c r="D3" t="s">
        <v>61</v>
      </c>
      <c r="J3" t="s">
        <v>29</v>
      </c>
      <c r="K3">
        <f>SUMIF(D:D,J3,E:E)</f>
        <v>3112.53</v>
      </c>
      <c r="L3">
        <f>SUMIF(D:D,J3,B:B)</f>
        <v>2789.3740567307877</v>
      </c>
      <c r="M3">
        <f>L3</f>
        <v>2789.3740567307877</v>
      </c>
    </row>
    <row r="4" spans="1:13" x14ac:dyDescent="0.3">
      <c r="A4" s="3">
        <v>45530</v>
      </c>
      <c r="B4">
        <v>100</v>
      </c>
      <c r="D4" t="s">
        <v>61</v>
      </c>
      <c r="J4" t="s">
        <v>58</v>
      </c>
      <c r="K4">
        <f>SUMIF(D:D,J4,E:E)</f>
        <v>645.37</v>
      </c>
      <c r="L4" s="5">
        <f>SUMIF(D:D,J4,B:B)</f>
        <v>579.85521739130434</v>
      </c>
      <c r="M4" s="5">
        <f>L4</f>
        <v>579.85521739130434</v>
      </c>
    </row>
    <row r="5" spans="1:13" x14ac:dyDescent="0.3">
      <c r="A5" s="3">
        <v>45533</v>
      </c>
      <c r="B5">
        <f>E5/C5</f>
        <v>270.56277056277054</v>
      </c>
      <c r="C5">
        <v>1.1088</v>
      </c>
      <c r="D5" t="s">
        <v>29</v>
      </c>
      <c r="E5">
        <v>300</v>
      </c>
      <c r="F5" t="s">
        <v>59</v>
      </c>
      <c r="M5">
        <f>SUM(L11:L16)</f>
        <v>0</v>
      </c>
    </row>
    <row r="6" spans="1:13" ht="15" thickBot="1" x14ac:dyDescent="0.35">
      <c r="A6" s="3">
        <v>45554</v>
      </c>
      <c r="B6">
        <v>200</v>
      </c>
      <c r="D6" t="s">
        <v>61</v>
      </c>
      <c r="M6" s="13">
        <f>SUM(M2:M5)</f>
        <v>17268.849274122094</v>
      </c>
    </row>
    <row r="7" spans="1:13" ht="15" thickTop="1" x14ac:dyDescent="0.3">
      <c r="A7" s="3">
        <v>45558</v>
      </c>
      <c r="B7">
        <f>E7/C7</f>
        <v>570.04468275245756</v>
      </c>
      <c r="C7">
        <v>1.119</v>
      </c>
      <c r="D7" t="s">
        <v>29</v>
      </c>
      <c r="E7">
        <v>637.88</v>
      </c>
      <c r="F7" t="s">
        <v>60</v>
      </c>
    </row>
    <row r="8" spans="1:13" x14ac:dyDescent="0.3">
      <c r="A8" s="3">
        <v>45558</v>
      </c>
      <c r="B8">
        <v>200</v>
      </c>
      <c r="D8" t="s">
        <v>61</v>
      </c>
    </row>
    <row r="9" spans="1:13" x14ac:dyDescent="0.3">
      <c r="A9" s="3">
        <v>45594</v>
      </c>
      <c r="B9">
        <v>500</v>
      </c>
      <c r="D9" t="s">
        <v>61</v>
      </c>
    </row>
    <row r="10" spans="1:13" x14ac:dyDescent="0.3">
      <c r="A10" s="3">
        <v>45601</v>
      </c>
      <c r="B10">
        <v>300</v>
      </c>
      <c r="D10" t="s">
        <v>61</v>
      </c>
    </row>
    <row r="11" spans="1:13" x14ac:dyDescent="0.3">
      <c r="A11" s="3">
        <v>45631</v>
      </c>
      <c r="B11">
        <f>E11/C11</f>
        <v>948.76660341555976</v>
      </c>
      <c r="C11" s="7">
        <v>1.054</v>
      </c>
      <c r="D11" t="s">
        <v>29</v>
      </c>
      <c r="E11">
        <v>1000</v>
      </c>
    </row>
    <row r="12" spans="1:13" x14ac:dyDescent="0.3">
      <c r="A12" s="3">
        <v>45667</v>
      </c>
      <c r="B12">
        <v>400</v>
      </c>
      <c r="D12" t="s">
        <v>61</v>
      </c>
    </row>
    <row r="13" spans="1:13" x14ac:dyDescent="0.3">
      <c r="A13" s="3">
        <v>45671</v>
      </c>
      <c r="B13">
        <v>450</v>
      </c>
      <c r="D13" t="s">
        <v>61</v>
      </c>
    </row>
    <row r="14" spans="1:13" x14ac:dyDescent="0.3">
      <c r="A14" s="3">
        <v>45672</v>
      </c>
      <c r="B14">
        <v>197.34</v>
      </c>
      <c r="D14" t="s">
        <v>61</v>
      </c>
    </row>
    <row r="15" spans="1:13" x14ac:dyDescent="0.3">
      <c r="A15" s="3">
        <v>45674</v>
      </c>
      <c r="B15">
        <v>200</v>
      </c>
      <c r="D15" t="s">
        <v>61</v>
      </c>
    </row>
    <row r="16" spans="1:13" x14ac:dyDescent="0.3">
      <c r="A16" s="3">
        <v>45681</v>
      </c>
      <c r="B16">
        <v>400</v>
      </c>
      <c r="D16" t="s">
        <v>61</v>
      </c>
    </row>
    <row r="17" spans="1:8" x14ac:dyDescent="0.3">
      <c r="A17" s="3">
        <v>45685</v>
      </c>
      <c r="B17">
        <v>400</v>
      </c>
      <c r="D17" t="s">
        <v>61</v>
      </c>
    </row>
    <row r="18" spans="1:8" x14ac:dyDescent="0.3">
      <c r="A18" s="3">
        <v>45694</v>
      </c>
      <c r="B18">
        <v>500</v>
      </c>
      <c r="D18" t="s">
        <v>61</v>
      </c>
    </row>
    <row r="19" spans="1:8" x14ac:dyDescent="0.3">
      <c r="A19" s="3">
        <v>45696</v>
      </c>
      <c r="B19">
        <v>400</v>
      </c>
      <c r="D19" t="s">
        <v>61</v>
      </c>
    </row>
    <row r="20" spans="1:8" x14ac:dyDescent="0.3">
      <c r="A20" s="3">
        <v>45701</v>
      </c>
      <c r="B20">
        <v>300</v>
      </c>
      <c r="D20" t="s">
        <v>61</v>
      </c>
    </row>
    <row r="21" spans="1:8" x14ac:dyDescent="0.3">
      <c r="A21" s="3">
        <v>45705</v>
      </c>
      <c r="B21">
        <v>200</v>
      </c>
      <c r="D21" t="s">
        <v>61</v>
      </c>
    </row>
    <row r="22" spans="1:8" x14ac:dyDescent="0.3">
      <c r="A22" s="3">
        <v>45722</v>
      </c>
      <c r="B22">
        <v>1000</v>
      </c>
      <c r="D22" t="s">
        <v>61</v>
      </c>
    </row>
    <row r="23" spans="1:8" x14ac:dyDescent="0.3">
      <c r="A23" s="3">
        <v>45750</v>
      </c>
      <c r="B23">
        <v>199.64</v>
      </c>
      <c r="D23" t="s">
        <v>61</v>
      </c>
    </row>
    <row r="24" spans="1:8" x14ac:dyDescent="0.3">
      <c r="A24" s="3">
        <v>45757</v>
      </c>
      <c r="B24">
        <v>300</v>
      </c>
      <c r="D24" t="s">
        <v>61</v>
      </c>
    </row>
    <row r="25" spans="1:8" x14ac:dyDescent="0.3">
      <c r="A25" s="3">
        <v>45762</v>
      </c>
      <c r="B25">
        <v>74.33</v>
      </c>
      <c r="D25" t="s">
        <v>61</v>
      </c>
    </row>
    <row r="26" spans="1:8" x14ac:dyDescent="0.3">
      <c r="A26" s="3">
        <v>45777</v>
      </c>
      <c r="B26">
        <v>700</v>
      </c>
      <c r="D26" t="s">
        <v>61</v>
      </c>
    </row>
    <row r="27" spans="1:8" x14ac:dyDescent="0.3">
      <c r="A27" s="3">
        <v>45782</v>
      </c>
      <c r="B27">
        <v>200</v>
      </c>
      <c r="D27" t="s">
        <v>61</v>
      </c>
    </row>
    <row r="28" spans="1:8" x14ac:dyDescent="0.3">
      <c r="A28" s="3">
        <v>45811</v>
      </c>
      <c r="B28">
        <v>200</v>
      </c>
      <c r="D28" t="s">
        <v>61</v>
      </c>
    </row>
    <row r="29" spans="1:8" x14ac:dyDescent="0.3">
      <c r="A29" s="3">
        <v>45861</v>
      </c>
      <c r="B29">
        <v>700</v>
      </c>
      <c r="D29" t="s">
        <v>61</v>
      </c>
    </row>
    <row r="30" spans="1:8" x14ac:dyDescent="0.3">
      <c r="A30" s="3">
        <v>45870</v>
      </c>
      <c r="B30">
        <v>296.14999999999998</v>
      </c>
      <c r="D30" t="s">
        <v>61</v>
      </c>
    </row>
    <row r="31" spans="1:8" x14ac:dyDescent="0.3">
      <c r="A31" s="3">
        <v>45916</v>
      </c>
      <c r="B31">
        <v>1000</v>
      </c>
      <c r="D31" t="s">
        <v>61</v>
      </c>
    </row>
    <row r="32" spans="1:8" x14ac:dyDescent="0.3">
      <c r="A32" s="3">
        <v>46005</v>
      </c>
      <c r="B32">
        <f>E32*C32</f>
        <v>506.16521739130434</v>
      </c>
      <c r="C32">
        <v>0.86956521739130432</v>
      </c>
      <c r="D32" t="s">
        <v>58</v>
      </c>
      <c r="E32">
        <f>565.36+16.73</f>
        <v>582.09</v>
      </c>
      <c r="F32" t="s">
        <v>57</v>
      </c>
      <c r="G32" t="s">
        <v>83</v>
      </c>
      <c r="H32" t="s">
        <v>84</v>
      </c>
    </row>
    <row r="33" spans="1:8" x14ac:dyDescent="0.3">
      <c r="A33" s="3">
        <v>46014</v>
      </c>
      <c r="B33">
        <v>-1000</v>
      </c>
      <c r="D33" t="s">
        <v>61</v>
      </c>
      <c r="F33" t="s">
        <v>63</v>
      </c>
      <c r="G33" t="s">
        <v>83</v>
      </c>
    </row>
    <row r="34" spans="1:8" x14ac:dyDescent="0.3">
      <c r="A34" s="3">
        <v>46014</v>
      </c>
      <c r="B34">
        <v>1000</v>
      </c>
      <c r="C34">
        <f>E34/B34</f>
        <v>1.1746500000000002</v>
      </c>
      <c r="D34" t="s">
        <v>29</v>
      </c>
      <c r="E34">
        <v>1174.6500000000001</v>
      </c>
      <c r="F34" t="s">
        <v>64</v>
      </c>
      <c r="G34" t="s">
        <v>83</v>
      </c>
    </row>
    <row r="35" spans="1:8" x14ac:dyDescent="0.3">
      <c r="A35" s="3"/>
    </row>
    <row r="36" spans="1:8" x14ac:dyDescent="0.3">
      <c r="A36" s="3">
        <v>46025</v>
      </c>
      <c r="B36">
        <v>73.69</v>
      </c>
      <c r="C36">
        <f>E36/B36</f>
        <v>0.85873252815850187</v>
      </c>
      <c r="D36" t="s">
        <v>58</v>
      </c>
      <c r="E36">
        <v>63.28</v>
      </c>
      <c r="G36" t="s">
        <v>83</v>
      </c>
      <c r="H36" t="s">
        <v>84</v>
      </c>
    </row>
    <row r="37" spans="1:8" x14ac:dyDescent="0.3">
      <c r="A37" s="3">
        <v>46041</v>
      </c>
      <c r="B37">
        <v>732.25</v>
      </c>
      <c r="D37" t="s">
        <v>61</v>
      </c>
      <c r="G37" t="s">
        <v>82</v>
      </c>
      <c r="H37" t="s">
        <v>84</v>
      </c>
    </row>
    <row r="38" spans="1:8" x14ac:dyDescent="0.3">
      <c r="A38" s="3">
        <v>45676</v>
      </c>
      <c r="B38">
        <v>500</v>
      </c>
      <c r="D38" t="s">
        <v>61</v>
      </c>
      <c r="G38" t="s">
        <v>82</v>
      </c>
      <c r="H38" t="s">
        <v>84</v>
      </c>
    </row>
    <row r="39" spans="1:8" x14ac:dyDescent="0.3">
      <c r="A39" s="3">
        <v>46042</v>
      </c>
      <c r="B39">
        <v>1000</v>
      </c>
      <c r="D39" t="s">
        <v>61</v>
      </c>
      <c r="G39" t="s">
        <v>82</v>
      </c>
      <c r="H39" t="s">
        <v>84</v>
      </c>
    </row>
    <row r="40" spans="1:8" x14ac:dyDescent="0.3">
      <c r="A40" s="3">
        <v>46044</v>
      </c>
      <c r="B40">
        <v>500</v>
      </c>
      <c r="D40" t="s">
        <v>61</v>
      </c>
      <c r="G40" t="s">
        <v>82</v>
      </c>
      <c r="H40" t="s">
        <v>84</v>
      </c>
    </row>
    <row r="41" spans="1:8" x14ac:dyDescent="0.3">
      <c r="A41" s="3">
        <v>46054</v>
      </c>
      <c r="B41">
        <v>1344.26</v>
      </c>
      <c r="D41" t="s">
        <v>61</v>
      </c>
      <c r="G41" t="s">
        <v>82</v>
      </c>
      <c r="H41" t="s">
        <v>84</v>
      </c>
    </row>
    <row r="42" spans="1:8" x14ac:dyDescent="0.3">
      <c r="A42" s="3">
        <v>46097</v>
      </c>
      <c r="B42">
        <f>500-246.35</f>
        <v>253.65</v>
      </c>
      <c r="D42" t="s">
        <v>61</v>
      </c>
      <c r="G42" t="s">
        <v>83</v>
      </c>
      <c r="H42" t="s">
        <v>84</v>
      </c>
    </row>
    <row r="43" spans="1:8" x14ac:dyDescent="0.3">
      <c r="A43" s="3">
        <v>45733</v>
      </c>
      <c r="B43">
        <v>500</v>
      </c>
      <c r="D43" t="s">
        <v>61</v>
      </c>
      <c r="G43" t="s">
        <v>83</v>
      </c>
      <c r="H43" t="s">
        <v>84</v>
      </c>
    </row>
    <row r="44" spans="1:8" x14ac:dyDescent="0.3">
      <c r="A44" s="3">
        <v>45735</v>
      </c>
      <c r="B44">
        <v>502</v>
      </c>
      <c r="D44" t="s">
        <v>61</v>
      </c>
      <c r="G44" t="s">
        <v>83</v>
      </c>
      <c r="H44" t="s">
        <v>84</v>
      </c>
    </row>
  </sheetData>
  <pageMargins left="0.7" right="0.7" top="0.75" bottom="0.75" header="0.3" footer="0.3"/>
  <customProperties>
    <customPr name="QAA_DRILLPATH_NODE_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WorkbookDrillPathInfo xmlns:xsd="http://www.w3.org/2001/XMLSchema" xmlns:xsi="http://www.w3.org/2001/XMLSchema-instance" xmlns="http://www.infor.com/qaa/DrillPath">
  <CurrentDrillPath>
    <DrillPathNode AnalysisType="NONE" Id="0cab7834-c2a2-497e-8b20-4380c0499ae5" Name="Transactions" HandleSummaryReportOnly="false" Source="">
      <SuppressZero>false</SuppressZero>
      <Children/>
    </DrillPathNode>
    <DrillPathNode AnalysisType="NONE" Id="4b15d721-017f-41ff-a78c-686fcf07a05a" Name="Introduced Capital" HandleSummaryReportOnly="false" Source="">
      <SuppressZero>false</SuppressZero>
      <Children/>
    </DrillPathNode>
  </CurrentDrillPath>
  <SavedDrillPath/>
</WorkbookDrillPathInfo>
</file>

<file path=customXml/itemProps1.xml><?xml version="1.0" encoding="utf-8"?>
<ds:datastoreItem xmlns:ds="http://schemas.openxmlformats.org/officeDocument/2006/customXml" ds:itemID="{B5B1827E-D7D6-4163-91B8-2D92E005576C}">
  <ds:schemaRefs>
    <ds:schemaRef ds:uri="http://www.w3.org/2001/XMLSchema"/>
    <ds:schemaRef ds:uri="http://www.infor.com/qaa/DrillPath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Transactions</vt:lpstr>
      <vt:lpstr>Introduced Capital</vt:lpstr>
    </vt:vector>
  </TitlesOfParts>
  <Company>Computime Ltd.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Jean-Paul Galea</dc:creator>
  <cp:lastModifiedBy>Jean-Paul Galea</cp:lastModifiedBy>
  <dcterms:created xsi:type="dcterms:W3CDTF">2025-09-09T15:38:53Z</dcterms:created>
  <dcterms:modified xsi:type="dcterms:W3CDTF">2026-03-27T13:22:21Z</dcterms:modified>
</cp:coreProperties>
</file>